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le\Lavoro\HSPH\GHG\C-ARIMA\"/>
    </mc:Choice>
  </mc:AlternateContent>
  <xr:revisionPtr revIDLastSave="0" documentId="13_ncr:1_{5CB8F736-6CD9-4F75-94CB-E078592B4BF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1_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5S7uPz5hm05aA5kMHaS/VZIUZVQhO4Iv7JTiZzLbO0="/>
    </ext>
  </extLst>
</workbook>
</file>

<file path=xl/calcChain.xml><?xml version="1.0" encoding="utf-8"?>
<calcChain xmlns="http://schemas.openxmlformats.org/spreadsheetml/2006/main">
  <c r="O49" i="2" l="1"/>
  <c r="M49" i="2"/>
  <c r="L49" i="2"/>
  <c r="K49" i="2"/>
  <c r="J49" i="2"/>
  <c r="I49" i="2"/>
  <c r="O48" i="2"/>
  <c r="M48" i="2"/>
  <c r="L48" i="2"/>
  <c r="K48" i="2"/>
  <c r="J48" i="2"/>
  <c r="I48" i="2"/>
  <c r="O47" i="2"/>
  <c r="M47" i="2"/>
  <c r="L47" i="2"/>
  <c r="K47" i="2"/>
  <c r="J47" i="2"/>
  <c r="I47" i="2"/>
  <c r="O46" i="2"/>
  <c r="M46" i="2"/>
  <c r="L46" i="2"/>
  <c r="K46" i="2"/>
  <c r="J46" i="2"/>
  <c r="I46" i="2"/>
  <c r="O45" i="2"/>
  <c r="M45" i="2"/>
  <c r="L45" i="2"/>
  <c r="K45" i="2"/>
  <c r="J45" i="2"/>
  <c r="I45" i="2"/>
  <c r="O44" i="2"/>
  <c r="M44" i="2"/>
  <c r="L44" i="2"/>
  <c r="K44" i="2"/>
  <c r="J44" i="2"/>
  <c r="I44" i="2"/>
  <c r="O43" i="2"/>
  <c r="M43" i="2"/>
  <c r="L43" i="2"/>
  <c r="K43" i="2"/>
  <c r="J43" i="2"/>
  <c r="I43" i="2"/>
  <c r="O42" i="2"/>
  <c r="M42" i="2"/>
  <c r="L42" i="2"/>
  <c r="K42" i="2"/>
  <c r="J42" i="2"/>
  <c r="I42" i="2"/>
  <c r="O41" i="2"/>
  <c r="M41" i="2"/>
  <c r="L41" i="2"/>
  <c r="K41" i="2"/>
  <c r="J41" i="2"/>
  <c r="I41" i="2"/>
  <c r="O40" i="2"/>
  <c r="M40" i="2"/>
  <c r="L40" i="2"/>
  <c r="K40" i="2"/>
  <c r="J40" i="2"/>
  <c r="I40" i="2"/>
  <c r="O39" i="2"/>
  <c r="M39" i="2"/>
  <c r="L39" i="2"/>
  <c r="K39" i="2"/>
  <c r="J39" i="2"/>
  <c r="I39" i="2"/>
  <c r="O38" i="2"/>
  <c r="M38" i="2"/>
  <c r="L38" i="2"/>
  <c r="K38" i="2"/>
  <c r="J38" i="2"/>
  <c r="I38" i="2"/>
  <c r="O37" i="2"/>
  <c r="M37" i="2"/>
  <c r="L37" i="2"/>
  <c r="K37" i="2"/>
  <c r="J37" i="2"/>
  <c r="I37" i="2"/>
  <c r="O36" i="2"/>
  <c r="M36" i="2"/>
  <c r="L36" i="2"/>
  <c r="K36" i="2"/>
  <c r="J36" i="2"/>
  <c r="I36" i="2"/>
  <c r="O35" i="2"/>
  <c r="M35" i="2"/>
  <c r="L35" i="2"/>
  <c r="K35" i="2"/>
  <c r="J35" i="2"/>
  <c r="I35" i="2"/>
  <c r="O34" i="2"/>
  <c r="M34" i="2"/>
  <c r="L34" i="2"/>
  <c r="K34" i="2"/>
  <c r="J34" i="2"/>
  <c r="I34" i="2"/>
  <c r="O33" i="2"/>
  <c r="M33" i="2"/>
  <c r="L33" i="2"/>
  <c r="K33" i="2"/>
  <c r="J33" i="2"/>
  <c r="I33" i="2"/>
  <c r="O32" i="2"/>
  <c r="M32" i="2"/>
  <c r="L32" i="2"/>
  <c r="K32" i="2"/>
  <c r="J32" i="2"/>
  <c r="I32" i="2"/>
  <c r="O31" i="2"/>
  <c r="M31" i="2"/>
  <c r="L31" i="2"/>
  <c r="K31" i="2"/>
  <c r="J31" i="2"/>
  <c r="I31" i="2"/>
  <c r="O30" i="2"/>
  <c r="M30" i="2"/>
  <c r="L30" i="2"/>
  <c r="K30" i="2"/>
  <c r="J30" i="2"/>
  <c r="I30" i="2"/>
  <c r="O29" i="2"/>
  <c r="M29" i="2"/>
  <c r="L29" i="2"/>
  <c r="K29" i="2"/>
  <c r="J29" i="2"/>
  <c r="I29" i="2"/>
  <c r="O28" i="2"/>
  <c r="M28" i="2"/>
  <c r="L28" i="2"/>
  <c r="K28" i="2"/>
  <c r="J28" i="2"/>
  <c r="I28" i="2"/>
  <c r="O27" i="2"/>
  <c r="M27" i="2"/>
  <c r="L27" i="2"/>
  <c r="K27" i="2"/>
  <c r="J27" i="2"/>
  <c r="I27" i="2"/>
  <c r="O26" i="2"/>
  <c r="M26" i="2"/>
  <c r="L26" i="2"/>
  <c r="K26" i="2"/>
  <c r="J26" i="2"/>
  <c r="I26" i="2"/>
  <c r="O25" i="2"/>
  <c r="M25" i="2"/>
  <c r="L25" i="2"/>
  <c r="K25" i="2"/>
  <c r="J25" i="2"/>
  <c r="I25" i="2"/>
  <c r="O24" i="2"/>
  <c r="M24" i="2"/>
  <c r="L24" i="2"/>
  <c r="K24" i="2"/>
  <c r="J24" i="2"/>
  <c r="I24" i="2"/>
  <c r="O23" i="2"/>
  <c r="M23" i="2"/>
  <c r="L23" i="2"/>
  <c r="K23" i="2"/>
  <c r="J23" i="2"/>
  <c r="I23" i="2"/>
  <c r="O22" i="2"/>
  <c r="M22" i="2"/>
  <c r="L22" i="2"/>
  <c r="K22" i="2"/>
  <c r="J22" i="2"/>
  <c r="I22" i="2"/>
  <c r="O21" i="2"/>
  <c r="M21" i="2"/>
  <c r="L21" i="2"/>
  <c r="K21" i="2"/>
  <c r="J21" i="2"/>
  <c r="I21" i="2"/>
  <c r="O20" i="2"/>
  <c r="M20" i="2"/>
  <c r="L20" i="2"/>
  <c r="K20" i="2"/>
  <c r="J20" i="2"/>
  <c r="I20" i="2"/>
  <c r="O19" i="2"/>
  <c r="M19" i="2"/>
  <c r="L19" i="2"/>
  <c r="K19" i="2"/>
  <c r="J19" i="2"/>
  <c r="I19" i="2"/>
  <c r="O18" i="2"/>
  <c r="M18" i="2"/>
  <c r="L18" i="2"/>
  <c r="K18" i="2"/>
  <c r="J18" i="2"/>
  <c r="I18" i="2"/>
  <c r="O17" i="2"/>
  <c r="M17" i="2"/>
  <c r="L17" i="2"/>
  <c r="K17" i="2"/>
  <c r="J17" i="2"/>
  <c r="I17" i="2"/>
  <c r="O16" i="2"/>
  <c r="M16" i="2"/>
  <c r="L16" i="2"/>
  <c r="K16" i="2"/>
  <c r="J16" i="2"/>
  <c r="I16" i="2"/>
  <c r="O15" i="2"/>
  <c r="M15" i="2"/>
  <c r="L15" i="2"/>
  <c r="K15" i="2"/>
  <c r="J15" i="2"/>
  <c r="I15" i="2"/>
  <c r="O14" i="2"/>
  <c r="M14" i="2"/>
  <c r="L14" i="2"/>
  <c r="K14" i="2"/>
  <c r="J14" i="2"/>
  <c r="I14" i="2"/>
  <c r="O13" i="2"/>
  <c r="M13" i="2"/>
  <c r="L13" i="2"/>
  <c r="K13" i="2"/>
  <c r="J13" i="2"/>
  <c r="I13" i="2"/>
  <c r="O12" i="2"/>
  <c r="M12" i="2"/>
  <c r="L12" i="2"/>
  <c r="K12" i="2"/>
  <c r="J12" i="2"/>
  <c r="I12" i="2"/>
  <c r="O11" i="2"/>
  <c r="M11" i="2"/>
  <c r="L11" i="2"/>
  <c r="K11" i="2"/>
  <c r="J11" i="2"/>
  <c r="I11" i="2"/>
  <c r="O10" i="2"/>
  <c r="M10" i="2"/>
  <c r="L10" i="2"/>
  <c r="K10" i="2"/>
  <c r="J10" i="2"/>
  <c r="I10" i="2"/>
  <c r="O9" i="2"/>
  <c r="M9" i="2"/>
  <c r="L9" i="2"/>
  <c r="K9" i="2"/>
  <c r="J9" i="2"/>
  <c r="I9" i="2"/>
  <c r="O8" i="2"/>
  <c r="M8" i="2"/>
  <c r="L8" i="2"/>
  <c r="K8" i="2"/>
  <c r="J8" i="2"/>
  <c r="I8" i="2"/>
  <c r="O7" i="2"/>
  <c r="M7" i="2"/>
  <c r="L7" i="2"/>
  <c r="K7" i="2"/>
  <c r="J7" i="2"/>
  <c r="I7" i="2"/>
  <c r="O6" i="2"/>
  <c r="M6" i="2"/>
  <c r="L6" i="2"/>
  <c r="K6" i="2"/>
  <c r="J6" i="2"/>
  <c r="I6" i="2"/>
  <c r="O5" i="2"/>
  <c r="M5" i="2"/>
  <c r="L5" i="2"/>
  <c r="K5" i="2"/>
  <c r="J5" i="2"/>
  <c r="I5" i="2"/>
  <c r="O4" i="2"/>
  <c r="M4" i="2"/>
  <c r="L4" i="2"/>
  <c r="K4" i="2"/>
  <c r="J4" i="2"/>
  <c r="I4" i="2"/>
  <c r="O3" i="2"/>
  <c r="M3" i="2"/>
  <c r="L3" i="2"/>
  <c r="K3" i="2"/>
  <c r="J3" i="2"/>
  <c r="I3" i="2"/>
  <c r="O2" i="2"/>
  <c r="M2" i="2"/>
  <c r="L2" i="2"/>
  <c r="K2" i="2"/>
  <c r="J2" i="2"/>
  <c r="I2" i="2"/>
  <c r="U50" i="1"/>
  <c r="T50" i="1"/>
  <c r="S50" i="1"/>
  <c r="R50" i="1"/>
  <c r="Q50" i="1"/>
  <c r="P50" i="1"/>
  <c r="V50" i="1" s="1"/>
  <c r="O32" i="1"/>
  <c r="M32" i="1"/>
  <c r="L32" i="1"/>
  <c r="K32" i="1"/>
  <c r="J32" i="1"/>
  <c r="I32" i="1"/>
  <c r="O43" i="1"/>
  <c r="M43" i="1"/>
  <c r="L43" i="1"/>
  <c r="K43" i="1"/>
  <c r="J43" i="1"/>
  <c r="I43" i="1"/>
  <c r="O41" i="1"/>
  <c r="M41" i="1"/>
  <c r="L41" i="1"/>
  <c r="K41" i="1"/>
  <c r="J41" i="1"/>
  <c r="I41" i="1"/>
  <c r="O39" i="1"/>
  <c r="M39" i="1"/>
  <c r="L39" i="1"/>
  <c r="K39" i="1"/>
  <c r="J39" i="1"/>
  <c r="I39" i="1"/>
  <c r="O38" i="1"/>
  <c r="M38" i="1"/>
  <c r="L38" i="1"/>
  <c r="K38" i="1"/>
  <c r="J38" i="1"/>
  <c r="I38" i="1"/>
  <c r="O29" i="1"/>
  <c r="M29" i="1"/>
  <c r="L29" i="1"/>
  <c r="K29" i="1"/>
  <c r="J29" i="1"/>
  <c r="I29" i="1"/>
  <c r="O19" i="1"/>
  <c r="M19" i="1"/>
  <c r="L19" i="1"/>
  <c r="K19" i="1"/>
  <c r="J19" i="1"/>
  <c r="I19" i="1"/>
  <c r="O6" i="1"/>
  <c r="M6" i="1"/>
  <c r="L6" i="1"/>
  <c r="K6" i="1"/>
  <c r="J6" i="1"/>
  <c r="I6" i="1"/>
  <c r="O44" i="1"/>
  <c r="M44" i="1"/>
  <c r="L44" i="1"/>
  <c r="K44" i="1"/>
  <c r="J44" i="1"/>
  <c r="I44" i="1"/>
  <c r="O42" i="1"/>
  <c r="M42" i="1"/>
  <c r="L42" i="1"/>
  <c r="K42" i="1"/>
  <c r="J42" i="1"/>
  <c r="I42" i="1"/>
  <c r="O36" i="1"/>
  <c r="M36" i="1"/>
  <c r="L36" i="1"/>
  <c r="K36" i="1"/>
  <c r="J36" i="1"/>
  <c r="I36" i="1"/>
  <c r="O31" i="1"/>
  <c r="M31" i="1"/>
  <c r="L31" i="1"/>
  <c r="K31" i="1"/>
  <c r="J31" i="1"/>
  <c r="I31" i="1"/>
  <c r="O30" i="1"/>
  <c r="M30" i="1"/>
  <c r="L30" i="1"/>
  <c r="K30" i="1"/>
  <c r="J30" i="1"/>
  <c r="I30" i="1"/>
  <c r="O25" i="1"/>
  <c r="M25" i="1"/>
  <c r="L25" i="1"/>
  <c r="K25" i="1"/>
  <c r="J25" i="1"/>
  <c r="I25" i="1"/>
  <c r="O22" i="1"/>
  <c r="M22" i="1"/>
  <c r="L22" i="1"/>
  <c r="K22" i="1"/>
  <c r="J22" i="1"/>
  <c r="I22" i="1"/>
  <c r="O21" i="1"/>
  <c r="M21" i="1"/>
  <c r="L21" i="1"/>
  <c r="K21" i="1"/>
  <c r="J21" i="1"/>
  <c r="I21" i="1"/>
  <c r="O20" i="1"/>
  <c r="M20" i="1"/>
  <c r="L20" i="1"/>
  <c r="K20" i="1"/>
  <c r="J20" i="1"/>
  <c r="I20" i="1"/>
  <c r="O18" i="1"/>
  <c r="M18" i="1"/>
  <c r="L18" i="1"/>
  <c r="K18" i="1"/>
  <c r="J18" i="1"/>
  <c r="I18" i="1"/>
  <c r="O14" i="1"/>
  <c r="M14" i="1"/>
  <c r="L14" i="1"/>
  <c r="K14" i="1"/>
  <c r="J14" i="1"/>
  <c r="I14" i="1"/>
  <c r="O7" i="1"/>
  <c r="M7" i="1"/>
  <c r="L7" i="1"/>
  <c r="K7" i="1"/>
  <c r="J7" i="1"/>
  <c r="I7" i="1"/>
  <c r="O46" i="1"/>
  <c r="M46" i="1"/>
  <c r="L46" i="1"/>
  <c r="K46" i="1"/>
  <c r="J46" i="1"/>
  <c r="I46" i="1"/>
  <c r="O45" i="1"/>
  <c r="M45" i="1"/>
  <c r="L45" i="1"/>
  <c r="K45" i="1"/>
  <c r="J45" i="1"/>
  <c r="I45" i="1"/>
  <c r="O40" i="1"/>
  <c r="M40" i="1"/>
  <c r="L40" i="1"/>
  <c r="K40" i="1"/>
  <c r="J40" i="1"/>
  <c r="I40" i="1"/>
  <c r="O37" i="1"/>
  <c r="M37" i="1"/>
  <c r="L37" i="1"/>
  <c r="K37" i="1"/>
  <c r="J37" i="1"/>
  <c r="I37" i="1"/>
  <c r="O35" i="1"/>
  <c r="M35" i="1"/>
  <c r="L35" i="1"/>
  <c r="K35" i="1"/>
  <c r="J35" i="1"/>
  <c r="I35" i="1"/>
  <c r="O34" i="1"/>
  <c r="M34" i="1"/>
  <c r="L34" i="1"/>
  <c r="K34" i="1"/>
  <c r="J34" i="1"/>
  <c r="I34" i="1"/>
  <c r="O33" i="1"/>
  <c r="M33" i="1"/>
  <c r="L33" i="1"/>
  <c r="K33" i="1"/>
  <c r="J33" i="1"/>
  <c r="I33" i="1"/>
  <c r="O27" i="1"/>
  <c r="M27" i="1"/>
  <c r="L27" i="1"/>
  <c r="K27" i="1"/>
  <c r="J27" i="1"/>
  <c r="I27" i="1"/>
  <c r="O24" i="1"/>
  <c r="M24" i="1"/>
  <c r="L24" i="1"/>
  <c r="K24" i="1"/>
  <c r="J24" i="1"/>
  <c r="I24" i="1"/>
  <c r="O17" i="1"/>
  <c r="M17" i="1"/>
  <c r="L17" i="1"/>
  <c r="K17" i="1"/>
  <c r="J17" i="1"/>
  <c r="I17" i="1"/>
  <c r="O15" i="1"/>
  <c r="M15" i="1"/>
  <c r="L15" i="1"/>
  <c r="K15" i="1"/>
  <c r="J15" i="1"/>
  <c r="I15" i="1"/>
  <c r="O13" i="1"/>
  <c r="M13" i="1"/>
  <c r="L13" i="1"/>
  <c r="K13" i="1"/>
  <c r="J13" i="1"/>
  <c r="I13" i="1"/>
  <c r="O10" i="1"/>
  <c r="M10" i="1"/>
  <c r="L10" i="1"/>
  <c r="K10" i="1"/>
  <c r="J10" i="1"/>
  <c r="I10" i="1"/>
  <c r="O9" i="1"/>
  <c r="M9" i="1"/>
  <c r="L9" i="1"/>
  <c r="K9" i="1"/>
  <c r="J9" i="1"/>
  <c r="I9" i="1"/>
  <c r="O8" i="1"/>
  <c r="M8" i="1"/>
  <c r="L8" i="1"/>
  <c r="K8" i="1"/>
  <c r="J8" i="1"/>
  <c r="I8" i="1"/>
  <c r="O5" i="1"/>
  <c r="M5" i="1"/>
  <c r="L5" i="1"/>
  <c r="K5" i="1"/>
  <c r="J5" i="1"/>
  <c r="I5" i="1"/>
  <c r="O3" i="1"/>
  <c r="M3" i="1"/>
  <c r="L3" i="1"/>
  <c r="K3" i="1"/>
  <c r="J3" i="1"/>
  <c r="I3" i="1"/>
  <c r="O2" i="1"/>
  <c r="M2" i="1"/>
  <c r="L2" i="1"/>
  <c r="K2" i="1"/>
  <c r="J2" i="1"/>
  <c r="I2" i="1"/>
  <c r="O49" i="1"/>
  <c r="M49" i="1"/>
  <c r="L49" i="1"/>
  <c r="K49" i="1"/>
  <c r="J49" i="1"/>
  <c r="I49" i="1"/>
  <c r="O48" i="1"/>
  <c r="M48" i="1"/>
  <c r="L48" i="1"/>
  <c r="K48" i="1"/>
  <c r="J48" i="1"/>
  <c r="I48" i="1"/>
  <c r="O47" i="1"/>
  <c r="M47" i="1"/>
  <c r="L47" i="1"/>
  <c r="K47" i="1"/>
  <c r="J47" i="1"/>
  <c r="I47" i="1"/>
  <c r="O28" i="1"/>
  <c r="M28" i="1"/>
  <c r="L28" i="1"/>
  <c r="K28" i="1"/>
  <c r="J28" i="1"/>
  <c r="I28" i="1"/>
  <c r="O26" i="1"/>
  <c r="M26" i="1"/>
  <c r="L26" i="1"/>
  <c r="K26" i="1"/>
  <c r="J26" i="1"/>
  <c r="I26" i="1"/>
  <c r="O16" i="1"/>
  <c r="M16" i="1"/>
  <c r="L16" i="1"/>
  <c r="K16" i="1"/>
  <c r="J16" i="1"/>
  <c r="I16" i="1"/>
  <c r="O12" i="1"/>
  <c r="M12" i="1"/>
  <c r="L12" i="1"/>
  <c r="K12" i="1"/>
  <c r="J12" i="1"/>
  <c r="I12" i="1"/>
  <c r="O11" i="1"/>
  <c r="M11" i="1"/>
  <c r="L11" i="1"/>
  <c r="K11" i="1"/>
  <c r="J11" i="1"/>
  <c r="I11" i="1"/>
  <c r="O4" i="1"/>
  <c r="M4" i="1"/>
  <c r="L4" i="1"/>
  <c r="K4" i="1"/>
  <c r="J4" i="1"/>
  <c r="I4" i="1"/>
  <c r="O23" i="1"/>
  <c r="M23" i="1"/>
  <c r="L23" i="1"/>
  <c r="K23" i="1"/>
  <c r="J23" i="1"/>
  <c r="I23" i="1"/>
</calcChain>
</file>

<file path=xl/sharedStrings.xml><?xml version="1.0" encoding="utf-8"?>
<sst xmlns="http://schemas.openxmlformats.org/spreadsheetml/2006/main" count="234" uniqueCount="112">
  <si>
    <t>State</t>
  </si>
  <si>
    <t>Total_concurrent</t>
  </si>
  <si>
    <t>Electric_power</t>
  </si>
  <si>
    <t>Transportation</t>
  </si>
  <si>
    <t>Industrial</t>
  </si>
  <si>
    <t>Residential</t>
  </si>
  <si>
    <t>Commercial</t>
  </si>
  <si>
    <t>Total_meeting_criteria</t>
  </si>
  <si>
    <t>Total_not_meeting_criteria</t>
  </si>
  <si>
    <t>federal/state level acts</t>
  </si>
  <si>
    <t>house/senate bill</t>
  </si>
  <si>
    <t>tax incentive</t>
  </si>
  <si>
    <t>grants</t>
  </si>
  <si>
    <t>state codes and amendment</t>
  </si>
  <si>
    <t>executive order</t>
  </si>
  <si>
    <t>Mississippi</t>
  </si>
  <si>
    <t>Arkansas</t>
  </si>
  <si>
    <t>Idaho</t>
  </si>
  <si>
    <t>Illinois</t>
  </si>
  <si>
    <t>Kentucky</t>
  </si>
  <si>
    <t>Nebraska</t>
  </si>
  <si>
    <t>New Hampshire</t>
  </si>
  <si>
    <t>West Virginia</t>
  </si>
  <si>
    <t>Wisconsin</t>
  </si>
  <si>
    <t>Wyoming</t>
  </si>
  <si>
    <t>Alabama</t>
  </si>
  <si>
    <t>Arizona</t>
  </si>
  <si>
    <t>California</t>
  </si>
  <si>
    <t>Delaware</t>
  </si>
  <si>
    <t>Florida</t>
  </si>
  <si>
    <t>Georgia</t>
  </si>
  <si>
    <t>Indiana</t>
  </si>
  <si>
    <t>Kansas</t>
  </si>
  <si>
    <t>Louisiana</t>
  </si>
  <si>
    <t>Missouri</t>
  </si>
  <si>
    <t>Nevada</t>
  </si>
  <si>
    <t>North Dakota</t>
  </si>
  <si>
    <t>Ohio</t>
  </si>
  <si>
    <t>Oklahoma</t>
  </si>
  <si>
    <t>Pennsylvania</t>
  </si>
  <si>
    <t>South Dakota</t>
  </si>
  <si>
    <t>Virginia</t>
  </si>
  <si>
    <t>Washington</t>
  </si>
  <si>
    <t>Connecticut</t>
  </si>
  <si>
    <t>Iowa</t>
  </si>
  <si>
    <t>Maine</t>
  </si>
  <si>
    <t>Massachusetts</t>
  </si>
  <si>
    <t>Michigan</t>
  </si>
  <si>
    <t>Minnesota</t>
  </si>
  <si>
    <t>Montana</t>
  </si>
  <si>
    <t>New Mexico</t>
  </si>
  <si>
    <t>New York</t>
  </si>
  <si>
    <t>Oregon</t>
  </si>
  <si>
    <t>Texas</t>
  </si>
  <si>
    <t>Vermont</t>
  </si>
  <si>
    <t>Colorado</t>
  </si>
  <si>
    <t>Maryland</t>
  </si>
  <si>
    <t>New Jersey</t>
  </si>
  <si>
    <t>Rhode Island</t>
  </si>
  <si>
    <t>South Carolina</t>
  </si>
  <si>
    <t>Tennessee</t>
  </si>
  <si>
    <t>Utah</t>
  </si>
  <si>
    <t>North Carolina</t>
  </si>
  <si>
    <t>AL</t>
  </si>
  <si>
    <t>AZ</t>
  </si>
  <si>
    <t>AR</t>
  </si>
  <si>
    <t>CA</t>
  </si>
  <si>
    <t>CO</t>
  </si>
  <si>
    <t>CT</t>
  </si>
  <si>
    <t>DE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</si>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</sst>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Electric_power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Sheet1!$I$2:$I$49</c:f>
              <c:numCache>
                <c:formatCode>General</c:formatCode>
                <c:ptCount val="48"/>
                <c:pt idx="0">
                  <c:v>0</c:v>
                </c:pt>
                <c:pt idx="1">
                  <c:v>25</c:v>
                </c:pt>
                <c:pt idx="2">
                  <c:v>0</c:v>
                </c:pt>
                <c:pt idx="3">
                  <c:v>25</c:v>
                </c:pt>
                <c:pt idx="4">
                  <c:v>14.285714285714285</c:v>
                </c:pt>
                <c:pt idx="5">
                  <c:v>33.333333333333329</c:v>
                </c:pt>
                <c:pt idx="6">
                  <c:v>50</c:v>
                </c:pt>
                <c:pt idx="7">
                  <c:v>33.333333333333329</c:v>
                </c:pt>
                <c:pt idx="8">
                  <c:v>12.5</c:v>
                </c:pt>
                <c:pt idx="9">
                  <c:v>25</c:v>
                </c:pt>
                <c:pt idx="10">
                  <c:v>33.333333333333329</c:v>
                </c:pt>
                <c:pt idx="11">
                  <c:v>40</c:v>
                </c:pt>
                <c:pt idx="12">
                  <c:v>12.5</c:v>
                </c:pt>
                <c:pt idx="13">
                  <c:v>50</c:v>
                </c:pt>
                <c:pt idx="14">
                  <c:v>20</c:v>
                </c:pt>
                <c:pt idx="15">
                  <c:v>16.666666666666664</c:v>
                </c:pt>
                <c:pt idx="16">
                  <c:v>37.5</c:v>
                </c:pt>
                <c:pt idx="17">
                  <c:v>37.5</c:v>
                </c:pt>
                <c:pt idx="18">
                  <c:v>42.857142857142854</c:v>
                </c:pt>
                <c:pt idx="19">
                  <c:v>20</c:v>
                </c:pt>
                <c:pt idx="20">
                  <c:v>16.666666666666664</c:v>
                </c:pt>
                <c:pt idx="21">
                  <c:v>0</c:v>
                </c:pt>
                <c:pt idx="22">
                  <c:v>16.666666666666664</c:v>
                </c:pt>
                <c:pt idx="23">
                  <c:v>33.333333333333329</c:v>
                </c:pt>
                <c:pt idx="24">
                  <c:v>0</c:v>
                </c:pt>
                <c:pt idx="25">
                  <c:v>40</c:v>
                </c:pt>
                <c:pt idx="26">
                  <c:v>66.666666666666657</c:v>
                </c:pt>
                <c:pt idx="27">
                  <c:v>42.857142857142854</c:v>
                </c:pt>
                <c:pt idx="28">
                  <c:v>40</c:v>
                </c:pt>
                <c:pt idx="29">
                  <c:v>28.571428571428569</c:v>
                </c:pt>
                <c:pt idx="30">
                  <c:v>20</c:v>
                </c:pt>
                <c:pt idx="31">
                  <c:v>25</c:v>
                </c:pt>
                <c:pt idx="32">
                  <c:v>16.666666666666664</c:v>
                </c:pt>
                <c:pt idx="33">
                  <c:v>0</c:v>
                </c:pt>
                <c:pt idx="34">
                  <c:v>20</c:v>
                </c:pt>
                <c:pt idx="35">
                  <c:v>33.333333333333329</c:v>
                </c:pt>
                <c:pt idx="36">
                  <c:v>50</c:v>
                </c:pt>
                <c:pt idx="37">
                  <c:v>0</c:v>
                </c:pt>
                <c:pt idx="38">
                  <c:v>25</c:v>
                </c:pt>
                <c:pt idx="39">
                  <c:v>11.111111111111111</c:v>
                </c:pt>
                <c:pt idx="40">
                  <c:v>28.571428571428569</c:v>
                </c:pt>
                <c:pt idx="41">
                  <c:v>28.571428571428569</c:v>
                </c:pt>
                <c:pt idx="42">
                  <c:v>50</c:v>
                </c:pt>
                <c:pt idx="43">
                  <c:v>16.666666666666664</c:v>
                </c:pt>
                <c:pt idx="44">
                  <c:v>33.333333333333329</c:v>
                </c:pt>
                <c:pt idx="45">
                  <c:v>20</c:v>
                </c:pt>
                <c:pt idx="46">
                  <c:v>40</c:v>
                </c:pt>
                <c:pt idx="47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8B-4F16-A5AC-E581AFCD266F}"/>
            </c:ext>
          </c:extLst>
        </c:ser>
        <c:ser>
          <c:idx val="1"/>
          <c:order val="1"/>
          <c:tx>
            <c:v>Transportation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Sheet1!$J$2:$J$49</c:f>
              <c:numCache>
                <c:formatCode>General</c:formatCode>
                <c:ptCount val="48"/>
                <c:pt idx="0">
                  <c:v>20</c:v>
                </c:pt>
                <c:pt idx="1">
                  <c:v>25</c:v>
                </c:pt>
                <c:pt idx="2">
                  <c:v>50</c:v>
                </c:pt>
                <c:pt idx="3">
                  <c:v>50</c:v>
                </c:pt>
                <c:pt idx="4">
                  <c:v>14.285714285714285</c:v>
                </c:pt>
                <c:pt idx="5">
                  <c:v>16.666666666666664</c:v>
                </c:pt>
                <c:pt idx="6">
                  <c:v>25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33.333333333333329</c:v>
                </c:pt>
                <c:pt idx="14">
                  <c:v>0</c:v>
                </c:pt>
                <c:pt idx="15">
                  <c:v>16.666666666666664</c:v>
                </c:pt>
                <c:pt idx="16">
                  <c:v>12.5</c:v>
                </c:pt>
                <c:pt idx="17">
                  <c:v>0</c:v>
                </c:pt>
                <c:pt idx="18">
                  <c:v>28.571428571428569</c:v>
                </c:pt>
                <c:pt idx="19">
                  <c:v>0</c:v>
                </c:pt>
                <c:pt idx="20">
                  <c:v>16.666666666666664</c:v>
                </c:pt>
                <c:pt idx="21">
                  <c:v>100</c:v>
                </c:pt>
                <c:pt idx="22">
                  <c:v>16.666666666666664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33.333333333333329</c:v>
                </c:pt>
                <c:pt idx="27">
                  <c:v>14.285714285714285</c:v>
                </c:pt>
                <c:pt idx="28">
                  <c:v>0</c:v>
                </c:pt>
                <c:pt idx="29">
                  <c:v>14.285714285714285</c:v>
                </c:pt>
                <c:pt idx="30">
                  <c:v>20</c:v>
                </c:pt>
                <c:pt idx="31">
                  <c:v>25</c:v>
                </c:pt>
                <c:pt idx="32">
                  <c:v>16.666666666666664</c:v>
                </c:pt>
                <c:pt idx="33">
                  <c:v>50</c:v>
                </c:pt>
                <c:pt idx="34">
                  <c:v>20</c:v>
                </c:pt>
                <c:pt idx="35">
                  <c:v>16.666666666666664</c:v>
                </c:pt>
                <c:pt idx="36">
                  <c:v>16.666666666666664</c:v>
                </c:pt>
                <c:pt idx="37">
                  <c:v>28.571428571428569</c:v>
                </c:pt>
                <c:pt idx="38">
                  <c:v>25</c:v>
                </c:pt>
                <c:pt idx="39">
                  <c:v>11.111111111111111</c:v>
                </c:pt>
                <c:pt idx="40">
                  <c:v>14.285714285714285</c:v>
                </c:pt>
                <c:pt idx="41">
                  <c:v>14.285714285714285</c:v>
                </c:pt>
                <c:pt idx="42">
                  <c:v>16.666666666666664</c:v>
                </c:pt>
                <c:pt idx="43">
                  <c:v>16.666666666666664</c:v>
                </c:pt>
                <c:pt idx="44">
                  <c:v>0</c:v>
                </c:pt>
                <c:pt idx="45">
                  <c:v>0</c:v>
                </c:pt>
                <c:pt idx="46">
                  <c:v>20</c:v>
                </c:pt>
                <c:pt idx="47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8B-4F16-A5AC-E581AFCD266F}"/>
            </c:ext>
          </c:extLst>
        </c:ser>
        <c:ser>
          <c:idx val="2"/>
          <c:order val="2"/>
          <c:tx>
            <c:v>Industrial</c:v>
          </c:tx>
          <c:spPr>
            <a:solidFill>
              <a:srgbClr val="196B2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Sheet1!$K$2:$K$49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28.571428571428569</c:v>
                </c:pt>
                <c:pt idx="5">
                  <c:v>16.666666666666664</c:v>
                </c:pt>
                <c:pt idx="6">
                  <c:v>25</c:v>
                </c:pt>
                <c:pt idx="7">
                  <c:v>0</c:v>
                </c:pt>
                <c:pt idx="8">
                  <c:v>12.5</c:v>
                </c:pt>
                <c:pt idx="9">
                  <c:v>25</c:v>
                </c:pt>
                <c:pt idx="10">
                  <c:v>0</c:v>
                </c:pt>
                <c:pt idx="11">
                  <c:v>20</c:v>
                </c:pt>
                <c:pt idx="12">
                  <c:v>25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16.666666666666664</c:v>
                </c:pt>
                <c:pt idx="23">
                  <c:v>33.333333333333329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14.285714285714285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16.666666666666664</c:v>
                </c:pt>
                <c:pt idx="33">
                  <c:v>0</c:v>
                </c:pt>
                <c:pt idx="34">
                  <c:v>0</c:v>
                </c:pt>
                <c:pt idx="35">
                  <c:v>16.666666666666664</c:v>
                </c:pt>
                <c:pt idx="36">
                  <c:v>0</c:v>
                </c:pt>
                <c:pt idx="37">
                  <c:v>28.571428571428569</c:v>
                </c:pt>
                <c:pt idx="38">
                  <c:v>0</c:v>
                </c:pt>
                <c:pt idx="39">
                  <c:v>22.222222222222221</c:v>
                </c:pt>
                <c:pt idx="40">
                  <c:v>14.285714285714285</c:v>
                </c:pt>
                <c:pt idx="41">
                  <c:v>28.571428571428569</c:v>
                </c:pt>
                <c:pt idx="42">
                  <c:v>0</c:v>
                </c:pt>
                <c:pt idx="43">
                  <c:v>16.666666666666664</c:v>
                </c:pt>
                <c:pt idx="44">
                  <c:v>16.666666666666664</c:v>
                </c:pt>
                <c:pt idx="45">
                  <c:v>0</c:v>
                </c:pt>
                <c:pt idx="46">
                  <c:v>20</c:v>
                </c:pt>
                <c:pt idx="47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A8B-4F16-A5AC-E581AFCD266F}"/>
            </c:ext>
          </c:extLst>
        </c:ser>
        <c:ser>
          <c:idx val="3"/>
          <c:order val="3"/>
          <c:tx>
            <c:v>Residential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Sheet1!$L$2:$L$49</c:f>
              <c:numCache>
                <c:formatCode>General</c:formatCode>
                <c:ptCount val="48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14.285714285714285</c:v>
                </c:pt>
                <c:pt idx="5">
                  <c:v>16.666666666666664</c:v>
                </c:pt>
                <c:pt idx="6">
                  <c:v>0</c:v>
                </c:pt>
                <c:pt idx="7">
                  <c:v>16.666666666666664</c:v>
                </c:pt>
                <c:pt idx="8">
                  <c:v>25</c:v>
                </c:pt>
                <c:pt idx="9">
                  <c:v>25</c:v>
                </c:pt>
                <c:pt idx="10">
                  <c:v>33.333333333333329</c:v>
                </c:pt>
                <c:pt idx="11">
                  <c:v>0</c:v>
                </c:pt>
                <c:pt idx="12">
                  <c:v>12.5</c:v>
                </c:pt>
                <c:pt idx="13">
                  <c:v>0</c:v>
                </c:pt>
                <c:pt idx="14">
                  <c:v>20</c:v>
                </c:pt>
                <c:pt idx="15">
                  <c:v>50</c:v>
                </c:pt>
                <c:pt idx="16">
                  <c:v>25</c:v>
                </c:pt>
                <c:pt idx="17">
                  <c:v>25</c:v>
                </c:pt>
                <c:pt idx="18">
                  <c:v>14.285714285714285</c:v>
                </c:pt>
                <c:pt idx="19">
                  <c:v>20</c:v>
                </c:pt>
                <c:pt idx="20">
                  <c:v>16.666666666666664</c:v>
                </c:pt>
                <c:pt idx="21">
                  <c:v>0</c:v>
                </c:pt>
                <c:pt idx="22">
                  <c:v>16.666666666666664</c:v>
                </c:pt>
                <c:pt idx="23">
                  <c:v>0</c:v>
                </c:pt>
                <c:pt idx="24">
                  <c:v>40</c:v>
                </c:pt>
                <c:pt idx="25">
                  <c:v>20</c:v>
                </c:pt>
                <c:pt idx="26">
                  <c:v>0</c:v>
                </c:pt>
                <c:pt idx="27">
                  <c:v>28.571428571428569</c:v>
                </c:pt>
                <c:pt idx="28">
                  <c:v>20</c:v>
                </c:pt>
                <c:pt idx="29">
                  <c:v>14.285714285714285</c:v>
                </c:pt>
                <c:pt idx="30">
                  <c:v>10</c:v>
                </c:pt>
                <c:pt idx="31">
                  <c:v>25</c:v>
                </c:pt>
                <c:pt idx="32">
                  <c:v>16.666666666666664</c:v>
                </c:pt>
                <c:pt idx="33">
                  <c:v>25</c:v>
                </c:pt>
                <c:pt idx="34">
                  <c:v>20</c:v>
                </c:pt>
                <c:pt idx="35">
                  <c:v>16.666666666666664</c:v>
                </c:pt>
                <c:pt idx="36">
                  <c:v>0</c:v>
                </c:pt>
                <c:pt idx="37">
                  <c:v>14.285714285714285</c:v>
                </c:pt>
                <c:pt idx="38">
                  <c:v>25</c:v>
                </c:pt>
                <c:pt idx="39">
                  <c:v>22.222222222222221</c:v>
                </c:pt>
                <c:pt idx="40">
                  <c:v>14.285714285714285</c:v>
                </c:pt>
                <c:pt idx="41">
                  <c:v>0</c:v>
                </c:pt>
                <c:pt idx="42">
                  <c:v>16.666666666666664</c:v>
                </c:pt>
                <c:pt idx="43">
                  <c:v>16.666666666666664</c:v>
                </c:pt>
                <c:pt idx="44">
                  <c:v>16.666666666666664</c:v>
                </c:pt>
                <c:pt idx="45">
                  <c:v>40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8B-4F16-A5AC-E581AFCD266F}"/>
            </c:ext>
          </c:extLst>
        </c:ser>
        <c:ser>
          <c:idx val="4"/>
          <c:order val="4"/>
          <c:tx>
            <c:v>Commercial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Sheet1!$M$2:$M$49</c:f>
              <c:numCache>
                <c:formatCode>General</c:formatCode>
                <c:ptCount val="48"/>
                <c:pt idx="0">
                  <c:v>60</c:v>
                </c:pt>
                <c:pt idx="1">
                  <c:v>50</c:v>
                </c:pt>
                <c:pt idx="2">
                  <c:v>50</c:v>
                </c:pt>
                <c:pt idx="3">
                  <c:v>25</c:v>
                </c:pt>
                <c:pt idx="4">
                  <c:v>28.571428571428569</c:v>
                </c:pt>
                <c:pt idx="5">
                  <c:v>16.666666666666664</c:v>
                </c:pt>
                <c:pt idx="6">
                  <c:v>0</c:v>
                </c:pt>
                <c:pt idx="7">
                  <c:v>33.333333333333329</c:v>
                </c:pt>
                <c:pt idx="8">
                  <c:v>50</c:v>
                </c:pt>
                <c:pt idx="9">
                  <c:v>25</c:v>
                </c:pt>
                <c:pt idx="10">
                  <c:v>33.333333333333329</c:v>
                </c:pt>
                <c:pt idx="11">
                  <c:v>40</c:v>
                </c:pt>
                <c:pt idx="12">
                  <c:v>50</c:v>
                </c:pt>
                <c:pt idx="13">
                  <c:v>16.666666666666664</c:v>
                </c:pt>
                <c:pt idx="14">
                  <c:v>40</c:v>
                </c:pt>
                <c:pt idx="15">
                  <c:v>16.666666666666664</c:v>
                </c:pt>
                <c:pt idx="16">
                  <c:v>12.5</c:v>
                </c:pt>
                <c:pt idx="17">
                  <c:v>37.5</c:v>
                </c:pt>
                <c:pt idx="18">
                  <c:v>14.285714285714285</c:v>
                </c:pt>
                <c:pt idx="19">
                  <c:v>40</c:v>
                </c:pt>
                <c:pt idx="20">
                  <c:v>50</c:v>
                </c:pt>
                <c:pt idx="21">
                  <c:v>0</c:v>
                </c:pt>
                <c:pt idx="22">
                  <c:v>33.333333333333329</c:v>
                </c:pt>
                <c:pt idx="23">
                  <c:v>33.333333333333329</c:v>
                </c:pt>
                <c:pt idx="24">
                  <c:v>20</c:v>
                </c:pt>
                <c:pt idx="25">
                  <c:v>40</c:v>
                </c:pt>
                <c:pt idx="26">
                  <c:v>0</c:v>
                </c:pt>
                <c:pt idx="27">
                  <c:v>0</c:v>
                </c:pt>
                <c:pt idx="28">
                  <c:v>40</c:v>
                </c:pt>
                <c:pt idx="29">
                  <c:v>42.857142857142854</c:v>
                </c:pt>
                <c:pt idx="30">
                  <c:v>40</c:v>
                </c:pt>
                <c:pt idx="31">
                  <c:v>25</c:v>
                </c:pt>
                <c:pt idx="32">
                  <c:v>33.333333333333329</c:v>
                </c:pt>
                <c:pt idx="33">
                  <c:v>25</c:v>
                </c:pt>
                <c:pt idx="34">
                  <c:v>40</c:v>
                </c:pt>
                <c:pt idx="35">
                  <c:v>16.666666666666664</c:v>
                </c:pt>
                <c:pt idx="36">
                  <c:v>33.333333333333329</c:v>
                </c:pt>
                <c:pt idx="37">
                  <c:v>28.571428571428569</c:v>
                </c:pt>
                <c:pt idx="38">
                  <c:v>25</c:v>
                </c:pt>
                <c:pt idx="39">
                  <c:v>33.333333333333329</c:v>
                </c:pt>
                <c:pt idx="40">
                  <c:v>28.571428571428569</c:v>
                </c:pt>
                <c:pt idx="41">
                  <c:v>28.571428571428569</c:v>
                </c:pt>
                <c:pt idx="42">
                  <c:v>16.666666666666664</c:v>
                </c:pt>
                <c:pt idx="43">
                  <c:v>33.333333333333329</c:v>
                </c:pt>
                <c:pt idx="44">
                  <c:v>33.333333333333329</c:v>
                </c:pt>
                <c:pt idx="45">
                  <c:v>40</c:v>
                </c:pt>
                <c:pt idx="46">
                  <c:v>20</c:v>
                </c:pt>
                <c:pt idx="4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A8B-4F16-A5AC-E581AFCD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5910669"/>
        <c:axId val="911573963"/>
      </c:barChart>
      <c:catAx>
        <c:axId val="385910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911573963"/>
        <c:crosses val="autoZero"/>
        <c:auto val="1"/>
        <c:lblAlgn val="ctr"/>
        <c:lblOffset val="100"/>
        <c:noMultiLvlLbl val="1"/>
      </c:catAx>
      <c:valAx>
        <c:axId val="911573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3859106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t-IT" sz="1400" b="0" i="0">
                <a:solidFill>
                  <a:srgbClr val="757575"/>
                </a:solidFill>
                <a:latin typeface="+mn-lt"/>
              </a:rPr>
              <a:t>Total Concurrent Regulations Organized by criteria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Total_meeting_criteria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Sheet1!$N$2:$N$49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26-491E-8769-6F6043601900}"/>
            </c:ext>
          </c:extLst>
        </c:ser>
        <c:ser>
          <c:idx val="1"/>
          <c:order val="1"/>
          <c:tx>
            <c:v>Total_not_meeting_criteria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Sheet1!$A$2:$A$49</c:f>
              <c:strCache>
                <c:ptCount val="48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Florida</c:v>
                </c:pt>
                <c:pt idx="8">
                  <c:v>Georgia</c:v>
                </c:pt>
                <c:pt idx="9">
                  <c:v>Idaho</c:v>
                </c:pt>
                <c:pt idx="10">
                  <c:v>Illinois</c:v>
                </c:pt>
                <c:pt idx="11">
                  <c:v>Indiana</c:v>
                </c:pt>
                <c:pt idx="12">
                  <c:v>Iowa</c:v>
                </c:pt>
                <c:pt idx="13">
                  <c:v>Kansas</c:v>
                </c:pt>
                <c:pt idx="14">
                  <c:v>Kentucky</c:v>
                </c:pt>
                <c:pt idx="15">
                  <c:v>Louisiana</c:v>
                </c:pt>
                <c:pt idx="16">
                  <c:v>Maine</c:v>
                </c:pt>
                <c:pt idx="17">
                  <c:v>Maryland</c:v>
                </c:pt>
                <c:pt idx="18">
                  <c:v>Massachusetts</c:v>
                </c:pt>
                <c:pt idx="19">
                  <c:v>Michigan</c:v>
                </c:pt>
                <c:pt idx="20">
                  <c:v>Minnesota</c:v>
                </c:pt>
                <c:pt idx="21">
                  <c:v>Mississippi</c:v>
                </c:pt>
                <c:pt idx="22">
                  <c:v>Missouri</c:v>
                </c:pt>
                <c:pt idx="23">
                  <c:v>Montana</c:v>
                </c:pt>
                <c:pt idx="24">
                  <c:v>Nebraska</c:v>
                </c:pt>
                <c:pt idx="25">
                  <c:v>Nevada</c:v>
                </c:pt>
                <c:pt idx="26">
                  <c:v>New Hampshire</c:v>
                </c:pt>
                <c:pt idx="27">
                  <c:v>New Jersey</c:v>
                </c:pt>
                <c:pt idx="28">
                  <c:v>New Mexico</c:v>
                </c:pt>
                <c:pt idx="29">
                  <c:v>New York</c:v>
                </c:pt>
                <c:pt idx="30">
                  <c:v>North Carolina</c:v>
                </c:pt>
                <c:pt idx="31">
                  <c:v>North Dakota</c:v>
                </c:pt>
                <c:pt idx="32">
                  <c:v>Ohio</c:v>
                </c:pt>
                <c:pt idx="33">
                  <c:v>Oklahoma</c:v>
                </c:pt>
                <c:pt idx="34">
                  <c:v>Oregon</c:v>
                </c:pt>
                <c:pt idx="35">
                  <c:v>Pennsylvania</c:v>
                </c:pt>
                <c:pt idx="36">
                  <c:v>Rhode Island</c:v>
                </c:pt>
                <c:pt idx="37">
                  <c:v>South Carolina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  <c:pt idx="47">
                  <c:v>Wyoming</c:v>
                </c:pt>
              </c:strCache>
            </c:strRef>
          </c:cat>
          <c:val>
            <c:numRef>
              <c:f>Sheet1!$O$2:$O$49</c:f>
              <c:numCache>
                <c:formatCode>General</c:formatCode>
                <c:ptCount val="4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6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2</c:v>
                </c:pt>
                <c:pt idx="36">
                  <c:v>3</c:v>
                </c:pt>
                <c:pt idx="37">
                  <c:v>6</c:v>
                </c:pt>
                <c:pt idx="38">
                  <c:v>4</c:v>
                </c:pt>
                <c:pt idx="39">
                  <c:v>6</c:v>
                </c:pt>
                <c:pt idx="40">
                  <c:v>4</c:v>
                </c:pt>
                <c:pt idx="41">
                  <c:v>6</c:v>
                </c:pt>
                <c:pt idx="42">
                  <c:v>3</c:v>
                </c:pt>
                <c:pt idx="43">
                  <c:v>4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526-491E-8769-6F604360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0209691"/>
        <c:axId val="608784158"/>
      </c:barChart>
      <c:catAx>
        <c:axId val="860209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sz="1000" b="0" i="0">
                    <a:solidFill>
                      <a:srgbClr val="000000"/>
                    </a:solidFill>
                    <a:latin typeface="+mn-lt"/>
                  </a:rPr>
                  <a:t>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608784158"/>
        <c:crosses val="autoZero"/>
        <c:auto val="1"/>
        <c:lblAlgn val="ctr"/>
        <c:lblOffset val="100"/>
        <c:noMultiLvlLbl val="1"/>
      </c:catAx>
      <c:valAx>
        <c:axId val="608784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8602096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514350</xdr:colOff>
      <xdr:row>51</xdr:row>
      <xdr:rowOff>133350</xdr:rowOff>
    </xdr:from>
    <xdr:ext cx="10306050" cy="4095750"/>
    <xdr:graphicFrame macro="">
      <xdr:nvGraphicFramePr>
        <xdr:cNvPr id="410295392" name="Chart 1">
          <a:extLst>
            <a:ext uri="{FF2B5EF4-FFF2-40B4-BE49-F238E27FC236}">
              <a16:creationId xmlns:a16="http://schemas.microsoft.com/office/drawing/2014/main" id="{00000000-0008-0000-0000-0000609C7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0</xdr:colOff>
      <xdr:row>51</xdr:row>
      <xdr:rowOff>171450</xdr:rowOff>
    </xdr:from>
    <xdr:ext cx="10648950" cy="6257925"/>
    <xdr:graphicFrame macro="">
      <xdr:nvGraphicFramePr>
        <xdr:cNvPr id="5010600" name="Chart 2">
          <a:extLst>
            <a:ext uri="{FF2B5EF4-FFF2-40B4-BE49-F238E27FC236}">
              <a16:creationId xmlns:a16="http://schemas.microsoft.com/office/drawing/2014/main" id="{00000000-0008-0000-0000-0000A8744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pane xSplit="1" ySplit="1" topLeftCell="K20" activePane="bottomRight" state="frozen"/>
      <selection pane="topRight" activeCell="B1" sqref="B1"/>
      <selection pane="bottomLeft" activeCell="A2" sqref="A2"/>
      <selection pane="bottomRight" sqref="A1:U49"/>
    </sheetView>
  </sheetViews>
  <sheetFormatPr defaultColWidth="11.25" defaultRowHeight="15" customHeight="1" x14ac:dyDescent="0.4"/>
  <cols>
    <col min="1" max="1" width="14" bestFit="1" customWidth="1"/>
    <col min="2" max="2" width="4.83203125" bestFit="1" customWidth="1"/>
    <col min="3" max="3" width="15.08203125" bestFit="1" customWidth="1"/>
    <col min="4" max="4" width="13.1640625" bestFit="1" customWidth="1"/>
    <col min="5" max="5" width="13.08203125" bestFit="1" customWidth="1"/>
    <col min="6" max="6" width="8.9140625" bestFit="1" customWidth="1"/>
    <col min="7" max="7" width="10.25" bestFit="1" customWidth="1"/>
    <col min="8" max="8" width="10.9140625" bestFit="1" customWidth="1"/>
    <col min="9" max="9" width="13.1640625" bestFit="1" customWidth="1"/>
    <col min="10" max="10" width="13.08203125" bestFit="1" customWidth="1"/>
    <col min="11" max="13" width="11.75" bestFit="1" customWidth="1"/>
    <col min="14" max="14" width="19.5" bestFit="1" customWidth="1"/>
    <col min="15" max="15" width="23.1640625" bestFit="1" customWidth="1"/>
    <col min="16" max="16" width="20.08203125" bestFit="1" customWidth="1"/>
    <col min="17" max="17" width="15.33203125" bestFit="1" customWidth="1"/>
    <col min="18" max="18" width="11.4140625" bestFit="1" customWidth="1"/>
    <col min="19" max="19" width="6" bestFit="1" customWidth="1"/>
    <col min="20" max="20" width="24.5" bestFit="1" customWidth="1"/>
    <col min="21" max="21" width="13.6640625" bestFit="1" customWidth="1"/>
    <col min="22" max="22" width="3.75" bestFit="1" customWidth="1"/>
    <col min="23" max="27" width="10.58203125" customWidth="1"/>
  </cols>
  <sheetData>
    <row r="1" spans="1:21" ht="15.75" customHeight="1" x14ac:dyDescent="0.4">
      <c r="A1" s="1" t="s">
        <v>0</v>
      </c>
      <c r="B1" t="s">
        <v>111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t="15.75" customHeight="1" x14ac:dyDescent="0.4">
      <c r="A2" s="1" t="s">
        <v>25</v>
      </c>
      <c r="B2" t="s">
        <v>63</v>
      </c>
      <c r="C2" s="2">
        <v>4</v>
      </c>
      <c r="D2" s="2">
        <v>0</v>
      </c>
      <c r="E2" s="2">
        <v>1</v>
      </c>
      <c r="F2" s="2">
        <v>0</v>
      </c>
      <c r="G2" s="2">
        <v>1</v>
      </c>
      <c r="H2" s="2">
        <v>3</v>
      </c>
      <c r="I2" s="2">
        <f t="shared" ref="I2:I49" si="0">D2/(SUM($D2:$H2))*100</f>
        <v>0</v>
      </c>
      <c r="J2" s="2">
        <f t="shared" ref="J2:J49" si="1">E2/(SUM($D2:$H2))*100</f>
        <v>20</v>
      </c>
      <c r="K2" s="2">
        <f t="shared" ref="K2:K49" si="2">F2/(SUM($D2:$H2))*100</f>
        <v>0</v>
      </c>
      <c r="L2" s="2">
        <f t="shared" ref="L2:L49" si="3">G2/(SUM($D2:$H2))*100</f>
        <v>20</v>
      </c>
      <c r="M2" s="2">
        <f t="shared" ref="M2:M49" si="4">H2/(SUM($D2:$H2))*100</f>
        <v>60</v>
      </c>
      <c r="N2" s="2">
        <v>0</v>
      </c>
      <c r="O2" s="2">
        <f t="shared" ref="O2:O49" si="5">C2-N2</f>
        <v>4</v>
      </c>
      <c r="P2" s="2">
        <v>1</v>
      </c>
      <c r="Q2" s="2">
        <v>0</v>
      </c>
      <c r="R2" s="2">
        <v>0</v>
      </c>
      <c r="S2" s="2">
        <v>1</v>
      </c>
      <c r="T2" s="2">
        <v>1</v>
      </c>
      <c r="U2" s="2">
        <v>1</v>
      </c>
    </row>
    <row r="3" spans="1:21" ht="15.75" customHeight="1" x14ac:dyDescent="0.4">
      <c r="A3" s="1" t="s">
        <v>26</v>
      </c>
      <c r="B3" t="s">
        <v>64</v>
      </c>
      <c r="C3" s="2">
        <v>4</v>
      </c>
      <c r="D3" s="2">
        <v>1</v>
      </c>
      <c r="E3" s="2">
        <v>1</v>
      </c>
      <c r="F3" s="2">
        <v>0</v>
      </c>
      <c r="G3" s="2">
        <v>0</v>
      </c>
      <c r="H3" s="2">
        <v>2</v>
      </c>
      <c r="I3" s="2">
        <f t="shared" si="0"/>
        <v>25</v>
      </c>
      <c r="J3" s="2">
        <f t="shared" si="1"/>
        <v>25</v>
      </c>
      <c r="K3" s="2">
        <f t="shared" si="2"/>
        <v>0</v>
      </c>
      <c r="L3" s="2">
        <f t="shared" si="3"/>
        <v>0</v>
      </c>
      <c r="M3" s="2">
        <f t="shared" si="4"/>
        <v>50</v>
      </c>
      <c r="N3" s="2">
        <v>1</v>
      </c>
      <c r="O3" s="2">
        <f t="shared" si="5"/>
        <v>3</v>
      </c>
      <c r="P3" s="2">
        <v>3</v>
      </c>
      <c r="Q3" s="2">
        <v>0</v>
      </c>
      <c r="R3" s="2">
        <v>0</v>
      </c>
      <c r="S3" s="2">
        <v>1</v>
      </c>
      <c r="T3" s="2">
        <v>0</v>
      </c>
      <c r="U3" s="2">
        <v>0</v>
      </c>
    </row>
    <row r="4" spans="1:21" ht="15.75" customHeight="1" x14ac:dyDescent="0.4">
      <c r="A4" s="1" t="s">
        <v>16</v>
      </c>
      <c r="B4" t="s">
        <v>65</v>
      </c>
      <c r="C4" s="2">
        <v>2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>
        <f t="shared" si="0"/>
        <v>0</v>
      </c>
      <c r="J4" s="2">
        <f t="shared" si="1"/>
        <v>50</v>
      </c>
      <c r="K4" s="2">
        <f t="shared" si="2"/>
        <v>0</v>
      </c>
      <c r="L4" s="2">
        <f t="shared" si="3"/>
        <v>0</v>
      </c>
      <c r="M4" s="2">
        <f t="shared" si="4"/>
        <v>50</v>
      </c>
      <c r="N4" s="2">
        <v>0</v>
      </c>
      <c r="O4" s="2">
        <f t="shared" si="5"/>
        <v>2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ht="15.75" customHeight="1" x14ac:dyDescent="0.4">
      <c r="A5" s="1" t="s">
        <v>27</v>
      </c>
      <c r="B5" t="s">
        <v>66</v>
      </c>
      <c r="C5" s="2">
        <v>4</v>
      </c>
      <c r="D5" s="2">
        <v>1</v>
      </c>
      <c r="E5" s="2">
        <v>2</v>
      </c>
      <c r="F5" s="2">
        <v>0</v>
      </c>
      <c r="G5" s="2">
        <v>0</v>
      </c>
      <c r="H5" s="2">
        <v>1</v>
      </c>
      <c r="I5" s="2">
        <f t="shared" si="0"/>
        <v>25</v>
      </c>
      <c r="J5" s="2">
        <f t="shared" si="1"/>
        <v>50</v>
      </c>
      <c r="K5" s="2">
        <f t="shared" si="2"/>
        <v>0</v>
      </c>
      <c r="L5" s="2">
        <f t="shared" si="3"/>
        <v>0</v>
      </c>
      <c r="M5" s="2">
        <f t="shared" si="4"/>
        <v>25</v>
      </c>
      <c r="N5" s="2">
        <v>1</v>
      </c>
      <c r="O5" s="2">
        <f t="shared" si="5"/>
        <v>3</v>
      </c>
      <c r="P5" s="2">
        <v>4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ht="15.75" customHeight="1" x14ac:dyDescent="0.4">
      <c r="A6" s="1" t="s">
        <v>55</v>
      </c>
      <c r="B6" t="s">
        <v>67</v>
      </c>
      <c r="C6" s="2">
        <v>6</v>
      </c>
      <c r="D6" s="2">
        <v>1</v>
      </c>
      <c r="E6" s="2">
        <v>1</v>
      </c>
      <c r="F6" s="2">
        <v>2</v>
      </c>
      <c r="G6" s="2">
        <v>1</v>
      </c>
      <c r="H6" s="2">
        <v>2</v>
      </c>
      <c r="I6" s="2">
        <f t="shared" si="0"/>
        <v>14.285714285714285</v>
      </c>
      <c r="J6" s="2">
        <f t="shared" si="1"/>
        <v>14.285714285714285</v>
      </c>
      <c r="K6" s="2">
        <f t="shared" si="2"/>
        <v>28.571428571428569</v>
      </c>
      <c r="L6" s="2">
        <f t="shared" si="3"/>
        <v>14.285714285714285</v>
      </c>
      <c r="M6" s="2">
        <f t="shared" si="4"/>
        <v>28.571428571428569</v>
      </c>
      <c r="N6" s="2">
        <v>1</v>
      </c>
      <c r="O6" s="2">
        <f t="shared" si="5"/>
        <v>5</v>
      </c>
      <c r="P6" s="2">
        <v>1</v>
      </c>
      <c r="Q6" s="2">
        <v>1</v>
      </c>
      <c r="R6" s="2">
        <v>1</v>
      </c>
      <c r="S6" s="2">
        <v>2</v>
      </c>
      <c r="T6" s="2">
        <v>0</v>
      </c>
      <c r="U6" s="2">
        <v>1</v>
      </c>
    </row>
    <row r="7" spans="1:21" ht="15.75" customHeight="1" x14ac:dyDescent="0.4">
      <c r="A7" s="1" t="s">
        <v>43</v>
      </c>
      <c r="B7" t="s">
        <v>68</v>
      </c>
      <c r="C7" s="2">
        <v>5</v>
      </c>
      <c r="D7" s="2">
        <v>2</v>
      </c>
      <c r="E7" s="2">
        <v>1</v>
      </c>
      <c r="F7" s="2">
        <v>1</v>
      </c>
      <c r="G7" s="2">
        <v>1</v>
      </c>
      <c r="H7" s="2">
        <v>1</v>
      </c>
      <c r="I7" s="2">
        <f t="shared" si="0"/>
        <v>33.333333333333329</v>
      </c>
      <c r="J7" s="2">
        <f t="shared" si="1"/>
        <v>16.666666666666664</v>
      </c>
      <c r="K7" s="2">
        <f t="shared" si="2"/>
        <v>16.666666666666664</v>
      </c>
      <c r="L7" s="2">
        <f t="shared" si="3"/>
        <v>16.666666666666664</v>
      </c>
      <c r="M7" s="2">
        <f t="shared" si="4"/>
        <v>16.666666666666664</v>
      </c>
      <c r="N7" s="2">
        <v>2</v>
      </c>
      <c r="O7" s="2">
        <f t="shared" si="5"/>
        <v>3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0</v>
      </c>
    </row>
    <row r="8" spans="1:21" ht="15.75" customHeight="1" x14ac:dyDescent="0.4">
      <c r="A8" s="1" t="s">
        <v>28</v>
      </c>
      <c r="B8" t="s">
        <v>69</v>
      </c>
      <c r="C8" s="2">
        <v>4</v>
      </c>
      <c r="D8" s="2">
        <v>2</v>
      </c>
      <c r="E8" s="2">
        <v>1</v>
      </c>
      <c r="F8" s="2">
        <v>1</v>
      </c>
      <c r="G8" s="2">
        <v>0</v>
      </c>
      <c r="H8" s="2">
        <v>0</v>
      </c>
      <c r="I8" s="2">
        <f t="shared" si="0"/>
        <v>50</v>
      </c>
      <c r="J8" s="2">
        <f t="shared" si="1"/>
        <v>25</v>
      </c>
      <c r="K8" s="2">
        <f t="shared" si="2"/>
        <v>25</v>
      </c>
      <c r="L8" s="2">
        <f t="shared" si="3"/>
        <v>0</v>
      </c>
      <c r="M8" s="2">
        <f t="shared" si="4"/>
        <v>0</v>
      </c>
      <c r="N8" s="2">
        <v>2</v>
      </c>
      <c r="O8" s="2">
        <f t="shared" si="5"/>
        <v>2</v>
      </c>
      <c r="P8" s="2">
        <v>4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ht="15.75" customHeight="1" x14ac:dyDescent="0.4">
      <c r="A9" s="1" t="s">
        <v>29</v>
      </c>
      <c r="B9" t="s">
        <v>70</v>
      </c>
      <c r="C9" s="2">
        <v>4</v>
      </c>
      <c r="D9" s="2">
        <v>2</v>
      </c>
      <c r="E9" s="2">
        <v>1</v>
      </c>
      <c r="F9" s="2">
        <v>0</v>
      </c>
      <c r="G9" s="2">
        <v>1</v>
      </c>
      <c r="H9" s="2">
        <v>2</v>
      </c>
      <c r="I9" s="2">
        <f t="shared" si="0"/>
        <v>33.333333333333329</v>
      </c>
      <c r="J9" s="2">
        <f t="shared" si="1"/>
        <v>16.666666666666664</v>
      </c>
      <c r="K9" s="2">
        <f t="shared" si="2"/>
        <v>0</v>
      </c>
      <c r="L9" s="2">
        <f t="shared" si="3"/>
        <v>16.666666666666664</v>
      </c>
      <c r="M9" s="2">
        <f t="shared" si="4"/>
        <v>33.333333333333329</v>
      </c>
      <c r="N9" s="2">
        <v>2</v>
      </c>
      <c r="O9" s="2">
        <f t="shared" si="5"/>
        <v>2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</row>
    <row r="10" spans="1:21" ht="15.75" customHeight="1" x14ac:dyDescent="0.4">
      <c r="A10" s="1" t="s">
        <v>30</v>
      </c>
      <c r="B10" t="s">
        <v>71</v>
      </c>
      <c r="C10" s="2">
        <v>4</v>
      </c>
      <c r="D10" s="2">
        <v>1</v>
      </c>
      <c r="E10" s="2">
        <v>0</v>
      </c>
      <c r="F10" s="2">
        <v>1</v>
      </c>
      <c r="G10" s="2">
        <v>2</v>
      </c>
      <c r="H10" s="2">
        <v>4</v>
      </c>
      <c r="I10" s="2">
        <f t="shared" si="0"/>
        <v>12.5</v>
      </c>
      <c r="J10" s="2">
        <f t="shared" si="1"/>
        <v>0</v>
      </c>
      <c r="K10" s="2">
        <f t="shared" si="2"/>
        <v>12.5</v>
      </c>
      <c r="L10" s="2">
        <f t="shared" si="3"/>
        <v>25</v>
      </c>
      <c r="M10" s="2">
        <f t="shared" si="4"/>
        <v>50</v>
      </c>
      <c r="N10" s="2">
        <v>0</v>
      </c>
      <c r="O10" s="2">
        <f t="shared" si="5"/>
        <v>4</v>
      </c>
      <c r="P10" s="2">
        <v>0</v>
      </c>
      <c r="Q10" s="2">
        <v>0</v>
      </c>
      <c r="R10" s="2">
        <v>1</v>
      </c>
      <c r="S10" s="2">
        <v>0</v>
      </c>
      <c r="T10" s="2">
        <v>2</v>
      </c>
      <c r="U10" s="2">
        <v>1</v>
      </c>
    </row>
    <row r="11" spans="1:21" ht="15.75" customHeight="1" x14ac:dyDescent="0.4">
      <c r="A11" s="1" t="s">
        <v>17</v>
      </c>
      <c r="B11" t="s">
        <v>72</v>
      </c>
      <c r="C11" s="2">
        <v>3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f t="shared" si="0"/>
        <v>25</v>
      </c>
      <c r="J11" s="2">
        <f t="shared" si="1"/>
        <v>0</v>
      </c>
      <c r="K11" s="2">
        <f t="shared" si="2"/>
        <v>25</v>
      </c>
      <c r="L11" s="2">
        <f t="shared" si="3"/>
        <v>25</v>
      </c>
      <c r="M11" s="2">
        <f t="shared" si="4"/>
        <v>25</v>
      </c>
      <c r="N11" s="2">
        <v>0</v>
      </c>
      <c r="O11" s="2">
        <f t="shared" si="5"/>
        <v>3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</row>
    <row r="12" spans="1:21" ht="15.75" customHeight="1" x14ac:dyDescent="0.4">
      <c r="A12" s="1" t="s">
        <v>18</v>
      </c>
      <c r="B12" t="s">
        <v>73</v>
      </c>
      <c r="C12" s="2">
        <v>3</v>
      </c>
      <c r="D12" s="2">
        <v>1</v>
      </c>
      <c r="E12" s="2">
        <v>0</v>
      </c>
      <c r="F12" s="2">
        <v>0</v>
      </c>
      <c r="G12" s="2">
        <v>1</v>
      </c>
      <c r="H12" s="2">
        <v>1</v>
      </c>
      <c r="I12" s="2">
        <f t="shared" si="0"/>
        <v>33.333333333333329</v>
      </c>
      <c r="J12" s="2">
        <f t="shared" si="1"/>
        <v>0</v>
      </c>
      <c r="K12" s="2">
        <f t="shared" si="2"/>
        <v>0</v>
      </c>
      <c r="L12" s="2">
        <f t="shared" si="3"/>
        <v>33.333333333333329</v>
      </c>
      <c r="M12" s="2">
        <f t="shared" si="4"/>
        <v>33.333333333333329</v>
      </c>
      <c r="N12" s="2">
        <v>1</v>
      </c>
      <c r="O12" s="2">
        <f t="shared" si="5"/>
        <v>2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</row>
    <row r="13" spans="1:21" ht="15.75" customHeight="1" x14ac:dyDescent="0.4">
      <c r="A13" s="1" t="s">
        <v>31</v>
      </c>
      <c r="B13" t="s">
        <v>74</v>
      </c>
      <c r="C13" s="2">
        <v>4</v>
      </c>
      <c r="D13" s="2">
        <v>2</v>
      </c>
      <c r="E13" s="2">
        <v>0</v>
      </c>
      <c r="F13" s="2">
        <v>1</v>
      </c>
      <c r="G13" s="2">
        <v>0</v>
      </c>
      <c r="H13" s="2">
        <v>2</v>
      </c>
      <c r="I13" s="2">
        <f t="shared" si="0"/>
        <v>40</v>
      </c>
      <c r="J13" s="2">
        <f t="shared" si="1"/>
        <v>0</v>
      </c>
      <c r="K13" s="2">
        <f t="shared" si="2"/>
        <v>20</v>
      </c>
      <c r="L13" s="2">
        <f t="shared" si="3"/>
        <v>0</v>
      </c>
      <c r="M13" s="2">
        <f t="shared" si="4"/>
        <v>40</v>
      </c>
      <c r="N13" s="2">
        <v>0</v>
      </c>
      <c r="O13" s="2">
        <f t="shared" si="5"/>
        <v>4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</row>
    <row r="14" spans="1:21" ht="15.75" customHeight="1" x14ac:dyDescent="0.4">
      <c r="A14" s="1" t="s">
        <v>44</v>
      </c>
      <c r="B14" t="s">
        <v>75</v>
      </c>
      <c r="C14" s="2">
        <v>5</v>
      </c>
      <c r="D14" s="2">
        <v>1</v>
      </c>
      <c r="E14" s="2">
        <v>0</v>
      </c>
      <c r="F14" s="2">
        <v>2</v>
      </c>
      <c r="G14" s="2">
        <v>1</v>
      </c>
      <c r="H14" s="2">
        <v>4</v>
      </c>
      <c r="I14" s="2">
        <f t="shared" si="0"/>
        <v>12.5</v>
      </c>
      <c r="J14" s="2">
        <f t="shared" si="1"/>
        <v>0</v>
      </c>
      <c r="K14" s="2">
        <f t="shared" si="2"/>
        <v>25</v>
      </c>
      <c r="L14" s="2">
        <f t="shared" si="3"/>
        <v>12.5</v>
      </c>
      <c r="M14" s="2">
        <f t="shared" si="4"/>
        <v>50</v>
      </c>
      <c r="N14" s="2">
        <v>0</v>
      </c>
      <c r="O14" s="2">
        <f t="shared" si="5"/>
        <v>5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2</v>
      </c>
    </row>
    <row r="15" spans="1:21" ht="15.75" customHeight="1" x14ac:dyDescent="0.4">
      <c r="A15" s="1" t="s">
        <v>32</v>
      </c>
      <c r="B15" t="s">
        <v>76</v>
      </c>
      <c r="C15" s="2">
        <v>4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f t="shared" si="0"/>
        <v>50</v>
      </c>
      <c r="J15" s="2">
        <f t="shared" si="1"/>
        <v>33.333333333333329</v>
      </c>
      <c r="K15" s="2">
        <f t="shared" si="2"/>
        <v>0</v>
      </c>
      <c r="L15" s="2">
        <f t="shared" si="3"/>
        <v>0</v>
      </c>
      <c r="M15" s="2">
        <f t="shared" si="4"/>
        <v>16.666666666666664</v>
      </c>
      <c r="N15" s="2">
        <v>1</v>
      </c>
      <c r="O15" s="2">
        <f t="shared" si="5"/>
        <v>3</v>
      </c>
      <c r="P15" s="2">
        <v>3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</row>
    <row r="16" spans="1:21" ht="15.75" customHeight="1" x14ac:dyDescent="0.4">
      <c r="A16" s="1" t="s">
        <v>19</v>
      </c>
      <c r="B16" t="s">
        <v>77</v>
      </c>
      <c r="C16" s="2">
        <v>3</v>
      </c>
      <c r="D16" s="2">
        <v>1</v>
      </c>
      <c r="E16" s="2">
        <v>0</v>
      </c>
      <c r="F16" s="2">
        <v>1</v>
      </c>
      <c r="G16" s="2">
        <v>1</v>
      </c>
      <c r="H16" s="2">
        <v>2</v>
      </c>
      <c r="I16" s="2">
        <f t="shared" si="0"/>
        <v>20</v>
      </c>
      <c r="J16" s="2">
        <f t="shared" si="1"/>
        <v>0</v>
      </c>
      <c r="K16" s="2">
        <f t="shared" si="2"/>
        <v>20</v>
      </c>
      <c r="L16" s="2">
        <f t="shared" si="3"/>
        <v>20</v>
      </c>
      <c r="M16" s="2">
        <f t="shared" si="4"/>
        <v>40</v>
      </c>
      <c r="N16" s="2">
        <v>0</v>
      </c>
      <c r="O16" s="2">
        <f t="shared" si="5"/>
        <v>3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1</v>
      </c>
    </row>
    <row r="17" spans="1:21" ht="15.75" customHeight="1" x14ac:dyDescent="0.4">
      <c r="A17" s="1" t="s">
        <v>33</v>
      </c>
      <c r="B17" t="s">
        <v>78</v>
      </c>
      <c r="C17" s="2">
        <v>4</v>
      </c>
      <c r="D17" s="2">
        <v>1</v>
      </c>
      <c r="E17" s="2">
        <v>1</v>
      </c>
      <c r="F17" s="2">
        <v>0</v>
      </c>
      <c r="G17" s="2">
        <v>3</v>
      </c>
      <c r="H17" s="2">
        <v>1</v>
      </c>
      <c r="I17" s="2">
        <f t="shared" si="0"/>
        <v>16.666666666666664</v>
      </c>
      <c r="J17" s="2">
        <f t="shared" si="1"/>
        <v>16.666666666666664</v>
      </c>
      <c r="K17" s="2">
        <f t="shared" si="2"/>
        <v>0</v>
      </c>
      <c r="L17" s="2">
        <f t="shared" si="3"/>
        <v>50</v>
      </c>
      <c r="M17" s="2">
        <f t="shared" si="4"/>
        <v>16.666666666666664</v>
      </c>
      <c r="N17" s="2">
        <v>0</v>
      </c>
      <c r="O17" s="2">
        <f t="shared" si="5"/>
        <v>4</v>
      </c>
      <c r="P17" s="2">
        <v>0</v>
      </c>
      <c r="Q17" s="2">
        <v>1</v>
      </c>
      <c r="R17" s="2">
        <v>1</v>
      </c>
      <c r="S17" s="2">
        <v>0</v>
      </c>
      <c r="T17" s="2">
        <v>2</v>
      </c>
      <c r="U17" s="2">
        <v>0</v>
      </c>
    </row>
    <row r="18" spans="1:21" ht="15.75" customHeight="1" x14ac:dyDescent="0.4">
      <c r="A18" s="1" t="s">
        <v>45</v>
      </c>
      <c r="B18" t="s">
        <v>79</v>
      </c>
      <c r="C18" s="2">
        <v>5</v>
      </c>
      <c r="D18" s="2">
        <v>3</v>
      </c>
      <c r="E18" s="2">
        <v>1</v>
      </c>
      <c r="F18" s="2">
        <v>1</v>
      </c>
      <c r="G18" s="2">
        <v>2</v>
      </c>
      <c r="H18" s="2">
        <v>1</v>
      </c>
      <c r="I18" s="2">
        <f t="shared" si="0"/>
        <v>37.5</v>
      </c>
      <c r="J18" s="2">
        <f t="shared" si="1"/>
        <v>12.5</v>
      </c>
      <c r="K18" s="2">
        <f t="shared" si="2"/>
        <v>12.5</v>
      </c>
      <c r="L18" s="2">
        <f t="shared" si="3"/>
        <v>25</v>
      </c>
      <c r="M18" s="2">
        <f t="shared" si="4"/>
        <v>12.5</v>
      </c>
      <c r="N18" s="2">
        <v>2</v>
      </c>
      <c r="O18" s="2">
        <f t="shared" si="5"/>
        <v>3</v>
      </c>
      <c r="P18" s="2">
        <v>3</v>
      </c>
      <c r="Q18" s="2">
        <v>0</v>
      </c>
      <c r="R18" s="2">
        <v>1</v>
      </c>
      <c r="S18" s="2">
        <v>1</v>
      </c>
      <c r="T18" s="2">
        <v>0</v>
      </c>
      <c r="U18" s="2">
        <v>0</v>
      </c>
    </row>
    <row r="19" spans="1:21" ht="15.75" customHeight="1" x14ac:dyDescent="0.4">
      <c r="A19" s="1" t="s">
        <v>56</v>
      </c>
      <c r="B19" t="s">
        <v>80</v>
      </c>
      <c r="C19" s="2">
        <v>6</v>
      </c>
      <c r="D19" s="2">
        <v>3</v>
      </c>
      <c r="E19" s="2">
        <v>0</v>
      </c>
      <c r="F19" s="2">
        <v>0</v>
      </c>
      <c r="G19" s="2">
        <v>2</v>
      </c>
      <c r="H19" s="2">
        <v>3</v>
      </c>
      <c r="I19" s="2">
        <f t="shared" si="0"/>
        <v>37.5</v>
      </c>
      <c r="J19" s="2">
        <f t="shared" si="1"/>
        <v>0</v>
      </c>
      <c r="K19" s="2">
        <f t="shared" si="2"/>
        <v>0</v>
      </c>
      <c r="L19" s="2">
        <f t="shared" si="3"/>
        <v>25</v>
      </c>
      <c r="M19" s="2">
        <f t="shared" si="4"/>
        <v>37.5</v>
      </c>
      <c r="N19" s="2">
        <v>2</v>
      </c>
      <c r="O19" s="2">
        <f t="shared" si="5"/>
        <v>4</v>
      </c>
      <c r="P19" s="2">
        <v>3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</row>
    <row r="20" spans="1:21" ht="15.75" customHeight="1" x14ac:dyDescent="0.4">
      <c r="A20" s="1" t="s">
        <v>46</v>
      </c>
      <c r="B20" t="s">
        <v>81</v>
      </c>
      <c r="C20" s="2">
        <v>5</v>
      </c>
      <c r="D20" s="2">
        <v>3</v>
      </c>
      <c r="E20" s="2">
        <v>2</v>
      </c>
      <c r="F20" s="2">
        <v>0</v>
      </c>
      <c r="G20" s="2">
        <v>1</v>
      </c>
      <c r="H20" s="2">
        <v>1</v>
      </c>
      <c r="I20" s="2">
        <f t="shared" si="0"/>
        <v>42.857142857142854</v>
      </c>
      <c r="J20" s="2">
        <f t="shared" si="1"/>
        <v>28.571428571428569</v>
      </c>
      <c r="K20" s="2">
        <f t="shared" si="2"/>
        <v>0</v>
      </c>
      <c r="L20" s="2">
        <f t="shared" si="3"/>
        <v>14.285714285714285</v>
      </c>
      <c r="M20" s="2">
        <f t="shared" si="4"/>
        <v>14.285714285714285</v>
      </c>
      <c r="N20" s="2">
        <v>2</v>
      </c>
      <c r="O20" s="2">
        <f t="shared" si="5"/>
        <v>3</v>
      </c>
      <c r="P20" s="2">
        <v>4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</row>
    <row r="21" spans="1:21" ht="15.75" customHeight="1" x14ac:dyDescent="0.4">
      <c r="A21" s="1" t="s">
        <v>47</v>
      </c>
      <c r="B21" t="s">
        <v>82</v>
      </c>
      <c r="C21" s="2">
        <v>5</v>
      </c>
      <c r="D21" s="2">
        <v>1</v>
      </c>
      <c r="E21" s="2">
        <v>0</v>
      </c>
      <c r="F21" s="2">
        <v>1</v>
      </c>
      <c r="G21" s="2">
        <v>1</v>
      </c>
      <c r="H21" s="2">
        <v>2</v>
      </c>
      <c r="I21" s="2">
        <f t="shared" si="0"/>
        <v>20</v>
      </c>
      <c r="J21" s="2">
        <f t="shared" si="1"/>
        <v>0</v>
      </c>
      <c r="K21" s="2">
        <f t="shared" si="2"/>
        <v>20</v>
      </c>
      <c r="L21" s="2">
        <f t="shared" si="3"/>
        <v>20</v>
      </c>
      <c r="M21" s="2">
        <f t="shared" si="4"/>
        <v>40</v>
      </c>
      <c r="N21" s="2">
        <v>1</v>
      </c>
      <c r="O21" s="2">
        <f t="shared" si="5"/>
        <v>4</v>
      </c>
      <c r="P21" s="2">
        <v>2</v>
      </c>
      <c r="Q21" s="2">
        <v>0</v>
      </c>
      <c r="R21" s="2">
        <v>0</v>
      </c>
      <c r="S21" s="2">
        <v>2</v>
      </c>
      <c r="T21" s="2">
        <v>0</v>
      </c>
      <c r="U21" s="2">
        <v>1</v>
      </c>
    </row>
    <row r="22" spans="1:21" ht="15.75" customHeight="1" x14ac:dyDescent="0.4">
      <c r="A22" s="1" t="s">
        <v>48</v>
      </c>
      <c r="B22" t="s">
        <v>83</v>
      </c>
      <c r="C22" s="2">
        <v>5</v>
      </c>
      <c r="D22" s="2">
        <v>1</v>
      </c>
      <c r="E22" s="2">
        <v>1</v>
      </c>
      <c r="F22" s="2">
        <v>0</v>
      </c>
      <c r="G22" s="2">
        <v>1</v>
      </c>
      <c r="H22" s="2">
        <v>3</v>
      </c>
      <c r="I22" s="2">
        <f t="shared" si="0"/>
        <v>16.666666666666664</v>
      </c>
      <c r="J22" s="2">
        <f t="shared" si="1"/>
        <v>16.666666666666664</v>
      </c>
      <c r="K22" s="2">
        <f t="shared" si="2"/>
        <v>0</v>
      </c>
      <c r="L22" s="2">
        <f t="shared" si="3"/>
        <v>16.666666666666664</v>
      </c>
      <c r="M22" s="2">
        <f t="shared" si="4"/>
        <v>50</v>
      </c>
      <c r="N22" s="2">
        <v>1</v>
      </c>
      <c r="O22" s="2">
        <f t="shared" si="5"/>
        <v>4</v>
      </c>
      <c r="P22" s="2">
        <v>4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</row>
    <row r="23" spans="1:21" ht="15.75" customHeight="1" x14ac:dyDescent="0.4">
      <c r="A23" s="1" t="s">
        <v>15</v>
      </c>
      <c r="B23" t="s">
        <v>84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f t="shared" si="0"/>
        <v>0</v>
      </c>
      <c r="J23" s="2">
        <f t="shared" si="1"/>
        <v>100</v>
      </c>
      <c r="K23" s="2">
        <f t="shared" si="2"/>
        <v>0</v>
      </c>
      <c r="L23" s="2">
        <f t="shared" si="3"/>
        <v>0</v>
      </c>
      <c r="M23" s="2">
        <f t="shared" si="4"/>
        <v>0</v>
      </c>
      <c r="N23" s="2">
        <v>0</v>
      </c>
      <c r="O23" s="2">
        <f t="shared" si="5"/>
        <v>1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</row>
    <row r="24" spans="1:21" ht="15.75" customHeight="1" x14ac:dyDescent="0.4">
      <c r="A24" s="1" t="s">
        <v>34</v>
      </c>
      <c r="B24" t="s">
        <v>85</v>
      </c>
      <c r="C24" s="2">
        <v>4</v>
      </c>
      <c r="D24" s="2">
        <v>1</v>
      </c>
      <c r="E24" s="2">
        <v>1</v>
      </c>
      <c r="F24" s="2">
        <v>1</v>
      </c>
      <c r="G24" s="2">
        <v>1</v>
      </c>
      <c r="H24" s="2">
        <v>2</v>
      </c>
      <c r="I24" s="2">
        <f t="shared" si="0"/>
        <v>16.666666666666664</v>
      </c>
      <c r="J24" s="2">
        <f t="shared" si="1"/>
        <v>16.666666666666664</v>
      </c>
      <c r="K24" s="2">
        <f t="shared" si="2"/>
        <v>16.666666666666664</v>
      </c>
      <c r="L24" s="2">
        <f t="shared" si="3"/>
        <v>16.666666666666664</v>
      </c>
      <c r="M24" s="2">
        <f t="shared" si="4"/>
        <v>33.333333333333329</v>
      </c>
      <c r="N24" s="2">
        <v>1</v>
      </c>
      <c r="O24" s="2">
        <f t="shared" si="5"/>
        <v>3</v>
      </c>
      <c r="P24" s="2">
        <v>1</v>
      </c>
      <c r="Q24" s="2">
        <v>1</v>
      </c>
      <c r="R24" s="2">
        <v>0</v>
      </c>
      <c r="S24" s="2">
        <v>0</v>
      </c>
      <c r="T24" s="2">
        <v>1</v>
      </c>
      <c r="U24" s="2">
        <v>1</v>
      </c>
    </row>
    <row r="25" spans="1:21" ht="15.75" customHeight="1" x14ac:dyDescent="0.4">
      <c r="A25" s="1" t="s">
        <v>49</v>
      </c>
      <c r="B25" t="s">
        <v>86</v>
      </c>
      <c r="C25" s="2">
        <v>5</v>
      </c>
      <c r="D25" s="2">
        <v>2</v>
      </c>
      <c r="E25" s="2">
        <v>0</v>
      </c>
      <c r="F25" s="2">
        <v>2</v>
      </c>
      <c r="G25" s="2">
        <v>0</v>
      </c>
      <c r="H25" s="2">
        <v>2</v>
      </c>
      <c r="I25" s="2">
        <f t="shared" si="0"/>
        <v>33.333333333333329</v>
      </c>
      <c r="J25" s="2">
        <f t="shared" si="1"/>
        <v>0</v>
      </c>
      <c r="K25" s="2">
        <f t="shared" si="2"/>
        <v>33.333333333333329</v>
      </c>
      <c r="L25" s="2">
        <f t="shared" si="3"/>
        <v>0</v>
      </c>
      <c r="M25" s="2">
        <f t="shared" si="4"/>
        <v>33.333333333333329</v>
      </c>
      <c r="N25" s="2">
        <v>1</v>
      </c>
      <c r="O25" s="2">
        <f t="shared" si="5"/>
        <v>4</v>
      </c>
      <c r="P25" s="2">
        <v>2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</row>
    <row r="26" spans="1:21" ht="15.75" customHeight="1" x14ac:dyDescent="0.4">
      <c r="A26" s="1" t="s">
        <v>20</v>
      </c>
      <c r="B26" t="s">
        <v>87</v>
      </c>
      <c r="C26" s="2">
        <v>3</v>
      </c>
      <c r="D26" s="2">
        <v>0</v>
      </c>
      <c r="E26" s="2">
        <v>1</v>
      </c>
      <c r="F26" s="2">
        <v>1</v>
      </c>
      <c r="G26" s="2">
        <v>2</v>
      </c>
      <c r="H26" s="2">
        <v>1</v>
      </c>
      <c r="I26" s="2">
        <f t="shared" si="0"/>
        <v>0</v>
      </c>
      <c r="J26" s="2">
        <f t="shared" si="1"/>
        <v>20</v>
      </c>
      <c r="K26" s="2">
        <f t="shared" si="2"/>
        <v>20</v>
      </c>
      <c r="L26" s="2">
        <f t="shared" si="3"/>
        <v>40</v>
      </c>
      <c r="M26" s="2">
        <f t="shared" si="4"/>
        <v>20</v>
      </c>
      <c r="N26" s="2">
        <v>0</v>
      </c>
      <c r="O26" s="2">
        <f t="shared" si="5"/>
        <v>3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</row>
    <row r="27" spans="1:21" ht="15.75" customHeight="1" x14ac:dyDescent="0.4">
      <c r="A27" s="1" t="s">
        <v>35</v>
      </c>
      <c r="B27" t="s">
        <v>88</v>
      </c>
      <c r="C27" s="2">
        <v>4</v>
      </c>
      <c r="D27" s="2">
        <v>2</v>
      </c>
      <c r="E27" s="2">
        <v>0</v>
      </c>
      <c r="F27" s="2">
        <v>0</v>
      </c>
      <c r="G27" s="2">
        <v>1</v>
      </c>
      <c r="H27" s="2">
        <v>2</v>
      </c>
      <c r="I27" s="2">
        <f t="shared" si="0"/>
        <v>40</v>
      </c>
      <c r="J27" s="2">
        <f t="shared" si="1"/>
        <v>0</v>
      </c>
      <c r="K27" s="2">
        <f t="shared" si="2"/>
        <v>0</v>
      </c>
      <c r="L27" s="2">
        <f t="shared" si="3"/>
        <v>20</v>
      </c>
      <c r="M27" s="2">
        <f t="shared" si="4"/>
        <v>40</v>
      </c>
      <c r="N27" s="2">
        <v>1</v>
      </c>
      <c r="O27" s="2">
        <f t="shared" si="5"/>
        <v>3</v>
      </c>
      <c r="P27" s="2">
        <v>1</v>
      </c>
      <c r="Q27" s="2">
        <v>1</v>
      </c>
      <c r="R27" s="2">
        <v>0</v>
      </c>
      <c r="S27" s="2">
        <v>0</v>
      </c>
      <c r="T27" s="2">
        <v>1</v>
      </c>
      <c r="U27" s="2">
        <v>1</v>
      </c>
    </row>
    <row r="28" spans="1:21" ht="15.75" customHeight="1" x14ac:dyDescent="0.4">
      <c r="A28" s="1" t="s">
        <v>21</v>
      </c>
      <c r="B28" t="s">
        <v>89</v>
      </c>
      <c r="C28" s="2">
        <v>3</v>
      </c>
      <c r="D28" s="2">
        <v>2</v>
      </c>
      <c r="E28" s="2">
        <v>1</v>
      </c>
      <c r="F28" s="2">
        <v>0</v>
      </c>
      <c r="G28" s="2">
        <v>0</v>
      </c>
      <c r="H28" s="2">
        <v>0</v>
      </c>
      <c r="I28" s="2">
        <f t="shared" si="0"/>
        <v>66.666666666666657</v>
      </c>
      <c r="J28" s="2">
        <f t="shared" si="1"/>
        <v>33.333333333333329</v>
      </c>
      <c r="K28" s="2">
        <f t="shared" si="2"/>
        <v>0</v>
      </c>
      <c r="L28" s="2">
        <f t="shared" si="3"/>
        <v>0</v>
      </c>
      <c r="M28" s="2">
        <f t="shared" si="4"/>
        <v>0</v>
      </c>
      <c r="N28" s="2">
        <v>2</v>
      </c>
      <c r="O28" s="2">
        <f t="shared" si="5"/>
        <v>1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ht="15.75" customHeight="1" x14ac:dyDescent="0.4">
      <c r="A29" s="1" t="s">
        <v>57</v>
      </c>
      <c r="B29" t="s">
        <v>90</v>
      </c>
      <c r="C29" s="2">
        <v>6</v>
      </c>
      <c r="D29" s="2">
        <v>3</v>
      </c>
      <c r="E29" s="2">
        <v>1</v>
      </c>
      <c r="F29" s="2">
        <v>1</v>
      </c>
      <c r="G29" s="2">
        <v>2</v>
      </c>
      <c r="H29" s="2">
        <v>0</v>
      </c>
      <c r="I29" s="2">
        <f t="shared" si="0"/>
        <v>42.857142857142854</v>
      </c>
      <c r="J29" s="2">
        <f t="shared" si="1"/>
        <v>14.285714285714285</v>
      </c>
      <c r="K29" s="2">
        <f t="shared" si="2"/>
        <v>14.285714285714285</v>
      </c>
      <c r="L29" s="2">
        <f t="shared" si="3"/>
        <v>28.571428571428569</v>
      </c>
      <c r="M29" s="2">
        <f t="shared" si="4"/>
        <v>0</v>
      </c>
      <c r="N29" s="2">
        <v>3</v>
      </c>
      <c r="O29" s="2">
        <f t="shared" si="5"/>
        <v>3</v>
      </c>
      <c r="P29" s="2">
        <v>4</v>
      </c>
      <c r="Q29" s="2">
        <v>0</v>
      </c>
      <c r="R29" s="2">
        <v>1</v>
      </c>
      <c r="S29" s="2">
        <v>0</v>
      </c>
      <c r="T29" s="2">
        <v>1</v>
      </c>
      <c r="U29" s="2">
        <v>0</v>
      </c>
    </row>
    <row r="30" spans="1:21" ht="15.75" customHeight="1" x14ac:dyDescent="0.4">
      <c r="A30" s="1" t="s">
        <v>50</v>
      </c>
      <c r="B30" t="s">
        <v>91</v>
      </c>
      <c r="C30" s="2">
        <v>5</v>
      </c>
      <c r="D30" s="2">
        <v>2</v>
      </c>
      <c r="E30" s="2">
        <v>0</v>
      </c>
      <c r="F30" s="2">
        <v>0</v>
      </c>
      <c r="G30" s="2">
        <v>1</v>
      </c>
      <c r="H30" s="2">
        <v>2</v>
      </c>
      <c r="I30" s="2">
        <f t="shared" si="0"/>
        <v>40</v>
      </c>
      <c r="J30" s="2">
        <f t="shared" si="1"/>
        <v>0</v>
      </c>
      <c r="K30" s="2">
        <f t="shared" si="2"/>
        <v>0</v>
      </c>
      <c r="L30" s="2">
        <f t="shared" si="3"/>
        <v>20</v>
      </c>
      <c r="M30" s="2">
        <f t="shared" si="4"/>
        <v>40</v>
      </c>
      <c r="N30" s="2">
        <v>1</v>
      </c>
      <c r="O30" s="2">
        <f t="shared" si="5"/>
        <v>4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3</v>
      </c>
    </row>
    <row r="31" spans="1:21" ht="15.75" customHeight="1" x14ac:dyDescent="0.4">
      <c r="A31" s="1" t="s">
        <v>51</v>
      </c>
      <c r="B31" t="s">
        <v>92</v>
      </c>
      <c r="C31" s="2">
        <v>5</v>
      </c>
      <c r="D31" s="2">
        <v>2</v>
      </c>
      <c r="E31" s="2">
        <v>1</v>
      </c>
      <c r="F31" s="2">
        <v>0</v>
      </c>
      <c r="G31" s="2">
        <v>1</v>
      </c>
      <c r="H31" s="2">
        <v>3</v>
      </c>
      <c r="I31" s="2">
        <f t="shared" si="0"/>
        <v>28.571428571428569</v>
      </c>
      <c r="J31" s="2">
        <f t="shared" si="1"/>
        <v>14.285714285714285</v>
      </c>
      <c r="K31" s="2">
        <f t="shared" si="2"/>
        <v>0</v>
      </c>
      <c r="L31" s="2">
        <f t="shared" si="3"/>
        <v>14.285714285714285</v>
      </c>
      <c r="M31" s="2">
        <f t="shared" si="4"/>
        <v>42.857142857142854</v>
      </c>
      <c r="N31" s="2">
        <v>2</v>
      </c>
      <c r="O31" s="2">
        <f t="shared" si="5"/>
        <v>3</v>
      </c>
      <c r="P31" s="2">
        <v>1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</row>
    <row r="32" spans="1:21" ht="15.75" customHeight="1" x14ac:dyDescent="0.4">
      <c r="A32" s="1" t="s">
        <v>62</v>
      </c>
      <c r="B32" t="s">
        <v>93</v>
      </c>
      <c r="C32" s="2">
        <v>8</v>
      </c>
      <c r="D32" s="2">
        <v>2</v>
      </c>
      <c r="E32" s="2">
        <v>2</v>
      </c>
      <c r="F32" s="2">
        <v>1</v>
      </c>
      <c r="G32" s="2">
        <v>1</v>
      </c>
      <c r="H32" s="2">
        <v>4</v>
      </c>
      <c r="I32" s="2">
        <f t="shared" si="0"/>
        <v>20</v>
      </c>
      <c r="J32" s="2">
        <f t="shared" si="1"/>
        <v>20</v>
      </c>
      <c r="K32" s="2">
        <f t="shared" si="2"/>
        <v>10</v>
      </c>
      <c r="L32" s="2">
        <f t="shared" si="3"/>
        <v>10</v>
      </c>
      <c r="M32" s="2">
        <f t="shared" si="4"/>
        <v>40</v>
      </c>
      <c r="N32" s="2">
        <v>2</v>
      </c>
      <c r="O32" s="2">
        <f t="shared" si="5"/>
        <v>6</v>
      </c>
      <c r="P32" s="2">
        <v>2</v>
      </c>
      <c r="Q32" s="2">
        <v>2</v>
      </c>
      <c r="R32" s="2">
        <v>2</v>
      </c>
      <c r="S32" s="2">
        <v>1</v>
      </c>
      <c r="T32" s="2">
        <v>1</v>
      </c>
      <c r="U32" s="2">
        <v>0</v>
      </c>
    </row>
    <row r="33" spans="1:21" ht="15.75" customHeight="1" x14ac:dyDescent="0.4">
      <c r="A33" s="1" t="s">
        <v>36</v>
      </c>
      <c r="B33" t="s">
        <v>94</v>
      </c>
      <c r="C33" s="2">
        <v>4</v>
      </c>
      <c r="D33" s="2">
        <v>1</v>
      </c>
      <c r="E33" s="2">
        <v>1</v>
      </c>
      <c r="F33" s="2">
        <v>0</v>
      </c>
      <c r="G33" s="2">
        <v>1</v>
      </c>
      <c r="H33" s="2">
        <v>1</v>
      </c>
      <c r="I33" s="2">
        <f t="shared" si="0"/>
        <v>25</v>
      </c>
      <c r="J33" s="2">
        <f t="shared" si="1"/>
        <v>25</v>
      </c>
      <c r="K33" s="2">
        <f t="shared" si="2"/>
        <v>0</v>
      </c>
      <c r="L33" s="2">
        <f t="shared" si="3"/>
        <v>25</v>
      </c>
      <c r="M33" s="2">
        <f t="shared" si="4"/>
        <v>25</v>
      </c>
      <c r="N33" s="2">
        <v>0</v>
      </c>
      <c r="O33" s="2">
        <f t="shared" si="5"/>
        <v>4</v>
      </c>
      <c r="P33" s="2">
        <v>1</v>
      </c>
      <c r="Q33" s="2">
        <v>1</v>
      </c>
      <c r="R33" s="2">
        <v>1</v>
      </c>
      <c r="S33" s="2">
        <v>0</v>
      </c>
      <c r="T33" s="2">
        <v>1</v>
      </c>
      <c r="U33" s="2">
        <v>0</v>
      </c>
    </row>
    <row r="34" spans="1:21" ht="15.75" customHeight="1" x14ac:dyDescent="0.4">
      <c r="A34" s="1" t="s">
        <v>37</v>
      </c>
      <c r="B34" t="s">
        <v>95</v>
      </c>
      <c r="C34" s="2">
        <v>4</v>
      </c>
      <c r="D34" s="2">
        <v>1</v>
      </c>
      <c r="E34" s="2">
        <v>1</v>
      </c>
      <c r="F34" s="2">
        <v>1</v>
      </c>
      <c r="G34" s="2">
        <v>1</v>
      </c>
      <c r="H34" s="2">
        <v>2</v>
      </c>
      <c r="I34" s="2">
        <f t="shared" si="0"/>
        <v>16.666666666666664</v>
      </c>
      <c r="J34" s="2">
        <f t="shared" si="1"/>
        <v>16.666666666666664</v>
      </c>
      <c r="K34" s="2">
        <f t="shared" si="2"/>
        <v>16.666666666666664</v>
      </c>
      <c r="L34" s="2">
        <f t="shared" si="3"/>
        <v>16.666666666666664</v>
      </c>
      <c r="M34" s="2">
        <f t="shared" si="4"/>
        <v>33.333333333333329</v>
      </c>
      <c r="N34" s="2">
        <v>1</v>
      </c>
      <c r="O34" s="2">
        <f t="shared" si="5"/>
        <v>3</v>
      </c>
      <c r="P34" s="2">
        <v>0</v>
      </c>
      <c r="Q34" s="2">
        <v>1</v>
      </c>
      <c r="R34" s="2">
        <v>0</v>
      </c>
      <c r="S34" s="2">
        <v>1</v>
      </c>
      <c r="T34" s="2">
        <v>1</v>
      </c>
      <c r="U34" s="2">
        <v>1</v>
      </c>
    </row>
    <row r="35" spans="1:21" ht="15.75" customHeight="1" x14ac:dyDescent="0.4">
      <c r="A35" s="1" t="s">
        <v>38</v>
      </c>
      <c r="B35" t="s">
        <v>96</v>
      </c>
      <c r="C35" s="2">
        <v>4</v>
      </c>
      <c r="D35" s="2">
        <v>0</v>
      </c>
      <c r="E35" s="2">
        <v>2</v>
      </c>
      <c r="F35" s="2">
        <v>0</v>
      </c>
      <c r="G35" s="2">
        <v>1</v>
      </c>
      <c r="H35" s="2">
        <v>1</v>
      </c>
      <c r="I35" s="2">
        <f t="shared" si="0"/>
        <v>0</v>
      </c>
      <c r="J35" s="2">
        <f t="shared" si="1"/>
        <v>50</v>
      </c>
      <c r="K35" s="2">
        <f t="shared" si="2"/>
        <v>0</v>
      </c>
      <c r="L35" s="2">
        <f t="shared" si="3"/>
        <v>25</v>
      </c>
      <c r="M35" s="2">
        <f t="shared" si="4"/>
        <v>25</v>
      </c>
      <c r="N35" s="2">
        <v>0</v>
      </c>
      <c r="O35" s="2">
        <f t="shared" si="5"/>
        <v>4</v>
      </c>
      <c r="P35" s="2">
        <v>1</v>
      </c>
      <c r="Q35" s="2">
        <v>1</v>
      </c>
      <c r="R35" s="2">
        <v>2</v>
      </c>
      <c r="S35" s="2">
        <v>0</v>
      </c>
      <c r="T35" s="2">
        <v>0</v>
      </c>
      <c r="U35" s="2">
        <v>0</v>
      </c>
    </row>
    <row r="36" spans="1:21" ht="15.75" customHeight="1" x14ac:dyDescent="0.4">
      <c r="A36" s="1" t="s">
        <v>52</v>
      </c>
      <c r="B36" t="s">
        <v>97</v>
      </c>
      <c r="C36" s="2">
        <v>5</v>
      </c>
      <c r="D36" s="2">
        <v>1</v>
      </c>
      <c r="E36" s="2">
        <v>1</v>
      </c>
      <c r="F36" s="2">
        <v>0</v>
      </c>
      <c r="G36" s="2">
        <v>1</v>
      </c>
      <c r="H36" s="2">
        <v>2</v>
      </c>
      <c r="I36" s="2">
        <f t="shared" si="0"/>
        <v>20</v>
      </c>
      <c r="J36" s="2">
        <f t="shared" si="1"/>
        <v>20</v>
      </c>
      <c r="K36" s="2">
        <f t="shared" si="2"/>
        <v>0</v>
      </c>
      <c r="L36" s="2">
        <f t="shared" si="3"/>
        <v>20</v>
      </c>
      <c r="M36" s="2">
        <f t="shared" si="4"/>
        <v>40</v>
      </c>
      <c r="N36" s="2">
        <v>1</v>
      </c>
      <c r="O36" s="2">
        <f t="shared" si="5"/>
        <v>4</v>
      </c>
      <c r="P36" s="2">
        <v>1</v>
      </c>
      <c r="Q36" s="2">
        <v>2</v>
      </c>
      <c r="R36" s="2">
        <v>0</v>
      </c>
      <c r="S36" s="2">
        <v>0</v>
      </c>
      <c r="T36" s="2">
        <v>2</v>
      </c>
      <c r="U36" s="2">
        <v>0</v>
      </c>
    </row>
    <row r="37" spans="1:21" ht="15.75" customHeight="1" x14ac:dyDescent="0.4">
      <c r="A37" s="1" t="s">
        <v>39</v>
      </c>
      <c r="B37" t="s">
        <v>98</v>
      </c>
      <c r="C37" s="2">
        <v>4</v>
      </c>
      <c r="D37" s="2">
        <v>2</v>
      </c>
      <c r="E37" s="2">
        <v>1</v>
      </c>
      <c r="F37" s="2">
        <v>1</v>
      </c>
      <c r="G37" s="2">
        <v>1</v>
      </c>
      <c r="H37" s="2">
        <v>1</v>
      </c>
      <c r="I37" s="2">
        <f t="shared" si="0"/>
        <v>33.333333333333329</v>
      </c>
      <c r="J37" s="2">
        <f t="shared" si="1"/>
        <v>16.666666666666664</v>
      </c>
      <c r="K37" s="2">
        <f t="shared" si="2"/>
        <v>16.666666666666664</v>
      </c>
      <c r="L37" s="2">
        <f t="shared" si="3"/>
        <v>16.666666666666664</v>
      </c>
      <c r="M37" s="2">
        <f t="shared" si="4"/>
        <v>16.666666666666664</v>
      </c>
      <c r="N37" s="2">
        <v>2</v>
      </c>
      <c r="O37" s="2">
        <f t="shared" si="5"/>
        <v>2</v>
      </c>
      <c r="P37" s="2">
        <v>3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</row>
    <row r="38" spans="1:21" ht="15.75" customHeight="1" x14ac:dyDescent="0.4">
      <c r="A38" s="1" t="s">
        <v>58</v>
      </c>
      <c r="B38" t="s">
        <v>99</v>
      </c>
      <c r="C38" s="2">
        <v>6</v>
      </c>
      <c r="D38" s="2">
        <v>3</v>
      </c>
      <c r="E38" s="2">
        <v>1</v>
      </c>
      <c r="F38" s="2">
        <v>0</v>
      </c>
      <c r="G38" s="2">
        <v>0</v>
      </c>
      <c r="H38" s="2">
        <v>2</v>
      </c>
      <c r="I38" s="2">
        <f t="shared" si="0"/>
        <v>50</v>
      </c>
      <c r="J38" s="2">
        <f t="shared" si="1"/>
        <v>16.666666666666664</v>
      </c>
      <c r="K38" s="2">
        <f t="shared" si="2"/>
        <v>0</v>
      </c>
      <c r="L38" s="2">
        <f t="shared" si="3"/>
        <v>0</v>
      </c>
      <c r="M38" s="2">
        <f t="shared" si="4"/>
        <v>33.333333333333329</v>
      </c>
      <c r="N38" s="2">
        <v>3</v>
      </c>
      <c r="O38" s="2">
        <f t="shared" si="5"/>
        <v>3</v>
      </c>
      <c r="P38" s="2">
        <v>3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</row>
    <row r="39" spans="1:21" ht="15.75" customHeight="1" x14ac:dyDescent="0.4">
      <c r="A39" s="1" t="s">
        <v>59</v>
      </c>
      <c r="B39" t="s">
        <v>100</v>
      </c>
      <c r="C39" s="2">
        <v>6</v>
      </c>
      <c r="D39" s="2">
        <v>0</v>
      </c>
      <c r="E39" s="2">
        <v>2</v>
      </c>
      <c r="F39" s="2">
        <v>2</v>
      </c>
      <c r="G39" s="2">
        <v>1</v>
      </c>
      <c r="H39" s="2">
        <v>2</v>
      </c>
      <c r="I39" s="2">
        <f t="shared" si="0"/>
        <v>0</v>
      </c>
      <c r="J39" s="2">
        <f t="shared" si="1"/>
        <v>28.571428571428569</v>
      </c>
      <c r="K39" s="2">
        <f t="shared" si="2"/>
        <v>28.571428571428569</v>
      </c>
      <c r="L39" s="2">
        <f t="shared" si="3"/>
        <v>14.285714285714285</v>
      </c>
      <c r="M39" s="2">
        <f t="shared" si="4"/>
        <v>28.571428571428569</v>
      </c>
      <c r="N39" s="2">
        <v>0</v>
      </c>
      <c r="O39" s="2">
        <f t="shared" si="5"/>
        <v>6</v>
      </c>
      <c r="P39" s="2">
        <v>3</v>
      </c>
      <c r="Q39" s="2">
        <v>1</v>
      </c>
      <c r="R39" s="2">
        <v>2</v>
      </c>
      <c r="S39" s="2">
        <v>0</v>
      </c>
      <c r="T39" s="2">
        <v>0</v>
      </c>
      <c r="U39" s="2">
        <v>0</v>
      </c>
    </row>
    <row r="40" spans="1:21" ht="15.75" customHeight="1" x14ac:dyDescent="0.4">
      <c r="A40" s="1" t="s">
        <v>40</v>
      </c>
      <c r="B40" t="s">
        <v>101</v>
      </c>
      <c r="C40" s="2">
        <v>4</v>
      </c>
      <c r="D40" s="2">
        <v>1</v>
      </c>
      <c r="E40" s="2">
        <v>1</v>
      </c>
      <c r="F40" s="2">
        <v>0</v>
      </c>
      <c r="G40" s="2">
        <v>1</v>
      </c>
      <c r="H40" s="2">
        <v>1</v>
      </c>
      <c r="I40" s="2">
        <f t="shared" si="0"/>
        <v>25</v>
      </c>
      <c r="J40" s="2">
        <f t="shared" si="1"/>
        <v>25</v>
      </c>
      <c r="K40" s="2">
        <f t="shared" si="2"/>
        <v>0</v>
      </c>
      <c r="L40" s="2">
        <f t="shared" si="3"/>
        <v>25</v>
      </c>
      <c r="M40" s="2">
        <f t="shared" si="4"/>
        <v>25</v>
      </c>
      <c r="N40" s="2">
        <v>0</v>
      </c>
      <c r="O40" s="2">
        <f t="shared" si="5"/>
        <v>4</v>
      </c>
      <c r="P40" s="2">
        <v>0</v>
      </c>
      <c r="Q40" s="2">
        <v>2</v>
      </c>
      <c r="R40" s="2">
        <v>0</v>
      </c>
      <c r="S40" s="2">
        <v>0</v>
      </c>
      <c r="T40" s="2">
        <v>1</v>
      </c>
      <c r="U40" s="2">
        <v>1</v>
      </c>
    </row>
    <row r="41" spans="1:21" ht="15.75" customHeight="1" x14ac:dyDescent="0.4">
      <c r="A41" s="1" t="s">
        <v>60</v>
      </c>
      <c r="B41" t="s">
        <v>102</v>
      </c>
      <c r="C41" s="2">
        <v>6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f t="shared" si="0"/>
        <v>11.111111111111111</v>
      </c>
      <c r="J41" s="2">
        <f t="shared" si="1"/>
        <v>11.111111111111111</v>
      </c>
      <c r="K41" s="2">
        <f t="shared" si="2"/>
        <v>22.222222222222221</v>
      </c>
      <c r="L41" s="2">
        <f t="shared" si="3"/>
        <v>22.222222222222221</v>
      </c>
      <c r="M41" s="2">
        <f t="shared" si="4"/>
        <v>33.333333333333329</v>
      </c>
      <c r="N41" s="2">
        <v>0</v>
      </c>
      <c r="O41" s="2">
        <f t="shared" si="5"/>
        <v>6</v>
      </c>
      <c r="P41" s="2">
        <v>2</v>
      </c>
      <c r="Q41" s="2">
        <v>0</v>
      </c>
      <c r="R41" s="2">
        <v>1</v>
      </c>
      <c r="S41" s="2">
        <v>1</v>
      </c>
      <c r="T41" s="2">
        <v>1</v>
      </c>
      <c r="U41" s="2">
        <v>1</v>
      </c>
    </row>
    <row r="42" spans="1:21" ht="15.75" customHeight="1" x14ac:dyDescent="0.4">
      <c r="A42" s="1" t="s">
        <v>53</v>
      </c>
      <c r="B42" t="s">
        <v>103</v>
      </c>
      <c r="C42" s="2">
        <v>5</v>
      </c>
      <c r="D42" s="2">
        <v>2</v>
      </c>
      <c r="E42" s="2">
        <v>1</v>
      </c>
      <c r="F42" s="2">
        <v>1</v>
      </c>
      <c r="G42" s="2">
        <v>1</v>
      </c>
      <c r="H42" s="2">
        <v>2</v>
      </c>
      <c r="I42" s="2">
        <f t="shared" si="0"/>
        <v>28.571428571428569</v>
      </c>
      <c r="J42" s="2">
        <f t="shared" si="1"/>
        <v>14.285714285714285</v>
      </c>
      <c r="K42" s="2">
        <f t="shared" si="2"/>
        <v>14.285714285714285</v>
      </c>
      <c r="L42" s="2">
        <f t="shared" si="3"/>
        <v>14.285714285714285</v>
      </c>
      <c r="M42" s="2">
        <f t="shared" si="4"/>
        <v>28.571428571428569</v>
      </c>
      <c r="N42" s="2">
        <v>1</v>
      </c>
      <c r="O42" s="2">
        <f t="shared" si="5"/>
        <v>4</v>
      </c>
      <c r="P42" s="2">
        <v>2</v>
      </c>
      <c r="Q42" s="2">
        <v>0</v>
      </c>
      <c r="R42" s="2">
        <v>1</v>
      </c>
      <c r="S42" s="2">
        <v>1</v>
      </c>
      <c r="T42" s="2">
        <v>1</v>
      </c>
      <c r="U42" s="2">
        <v>0</v>
      </c>
    </row>
    <row r="43" spans="1:21" ht="15.75" customHeight="1" x14ac:dyDescent="0.4">
      <c r="A43" s="1" t="s">
        <v>61</v>
      </c>
      <c r="B43" t="s">
        <v>104</v>
      </c>
      <c r="C43" s="2">
        <v>6</v>
      </c>
      <c r="D43" s="2">
        <v>2</v>
      </c>
      <c r="E43" s="2">
        <v>1</v>
      </c>
      <c r="F43" s="2">
        <v>2</v>
      </c>
      <c r="G43" s="2">
        <v>0</v>
      </c>
      <c r="H43" s="2">
        <v>2</v>
      </c>
      <c r="I43" s="2">
        <f t="shared" si="0"/>
        <v>28.571428571428569</v>
      </c>
      <c r="J43" s="2">
        <f t="shared" si="1"/>
        <v>14.285714285714285</v>
      </c>
      <c r="K43" s="2">
        <f t="shared" si="2"/>
        <v>28.571428571428569</v>
      </c>
      <c r="L43" s="2">
        <f t="shared" si="3"/>
        <v>0</v>
      </c>
      <c r="M43" s="2">
        <f t="shared" si="4"/>
        <v>28.571428571428569</v>
      </c>
      <c r="N43" s="2">
        <v>0</v>
      </c>
      <c r="O43" s="2">
        <f t="shared" si="5"/>
        <v>6</v>
      </c>
      <c r="P43" s="2">
        <v>2</v>
      </c>
      <c r="Q43" s="2">
        <v>2</v>
      </c>
      <c r="R43" s="2">
        <v>0</v>
      </c>
      <c r="S43" s="2">
        <v>1</v>
      </c>
      <c r="T43" s="2">
        <v>0</v>
      </c>
      <c r="U43" s="2">
        <v>1</v>
      </c>
    </row>
    <row r="44" spans="1:21" ht="15.75" customHeight="1" x14ac:dyDescent="0.4">
      <c r="A44" s="1" t="s">
        <v>54</v>
      </c>
      <c r="B44" t="s">
        <v>105</v>
      </c>
      <c r="C44" s="2">
        <v>5</v>
      </c>
      <c r="D44" s="2">
        <v>3</v>
      </c>
      <c r="E44" s="2">
        <v>1</v>
      </c>
      <c r="F44" s="2">
        <v>0</v>
      </c>
      <c r="G44" s="2">
        <v>1</v>
      </c>
      <c r="H44" s="2">
        <v>1</v>
      </c>
      <c r="I44" s="2">
        <f t="shared" si="0"/>
        <v>50</v>
      </c>
      <c r="J44" s="2">
        <f t="shared" si="1"/>
        <v>16.666666666666664</v>
      </c>
      <c r="K44" s="2">
        <f t="shared" si="2"/>
        <v>0</v>
      </c>
      <c r="L44" s="2">
        <f t="shared" si="3"/>
        <v>16.666666666666664</v>
      </c>
      <c r="M44" s="2">
        <f t="shared" si="4"/>
        <v>16.666666666666664</v>
      </c>
      <c r="N44" s="2">
        <v>2</v>
      </c>
      <c r="O44" s="2">
        <f t="shared" si="5"/>
        <v>3</v>
      </c>
      <c r="P44" s="2">
        <v>4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</row>
    <row r="45" spans="1:21" ht="15.75" customHeight="1" x14ac:dyDescent="0.4">
      <c r="A45" s="1" t="s">
        <v>41</v>
      </c>
      <c r="B45" t="s">
        <v>106</v>
      </c>
      <c r="C45" s="2">
        <v>4</v>
      </c>
      <c r="D45" s="2">
        <v>1</v>
      </c>
      <c r="E45" s="2">
        <v>1</v>
      </c>
      <c r="F45" s="2">
        <v>1</v>
      </c>
      <c r="G45" s="2">
        <v>1</v>
      </c>
      <c r="H45" s="2">
        <v>2</v>
      </c>
      <c r="I45" s="2">
        <f t="shared" si="0"/>
        <v>16.666666666666664</v>
      </c>
      <c r="J45" s="2">
        <f t="shared" si="1"/>
        <v>16.666666666666664</v>
      </c>
      <c r="K45" s="2">
        <f t="shared" si="2"/>
        <v>16.666666666666664</v>
      </c>
      <c r="L45" s="2">
        <f t="shared" si="3"/>
        <v>16.666666666666664</v>
      </c>
      <c r="M45" s="2">
        <f t="shared" si="4"/>
        <v>33.333333333333329</v>
      </c>
      <c r="N45" s="2">
        <v>0</v>
      </c>
      <c r="O45" s="2">
        <f t="shared" si="5"/>
        <v>4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</row>
    <row r="46" spans="1:21" ht="15.75" customHeight="1" x14ac:dyDescent="0.4">
      <c r="A46" s="1" t="s">
        <v>42</v>
      </c>
      <c r="B46" t="s">
        <v>107</v>
      </c>
      <c r="C46" s="2">
        <v>4</v>
      </c>
      <c r="D46" s="2">
        <v>2</v>
      </c>
      <c r="E46" s="2">
        <v>0</v>
      </c>
      <c r="F46" s="2">
        <v>1</v>
      </c>
      <c r="G46" s="2">
        <v>1</v>
      </c>
      <c r="H46" s="2">
        <v>2</v>
      </c>
      <c r="I46" s="2">
        <f t="shared" si="0"/>
        <v>33.333333333333329</v>
      </c>
      <c r="J46" s="2">
        <f t="shared" si="1"/>
        <v>0</v>
      </c>
      <c r="K46" s="2">
        <f t="shared" si="2"/>
        <v>16.666666666666664</v>
      </c>
      <c r="L46" s="2">
        <f t="shared" si="3"/>
        <v>16.666666666666664</v>
      </c>
      <c r="M46" s="2">
        <f t="shared" si="4"/>
        <v>33.333333333333329</v>
      </c>
      <c r="N46" s="2">
        <v>2</v>
      </c>
      <c r="O46" s="2">
        <f t="shared" si="5"/>
        <v>2</v>
      </c>
      <c r="P46" s="2">
        <v>3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</row>
    <row r="47" spans="1:21" ht="15.75" customHeight="1" x14ac:dyDescent="0.4">
      <c r="A47" s="1" t="s">
        <v>22</v>
      </c>
      <c r="B47" t="s">
        <v>108</v>
      </c>
      <c r="C47" s="2">
        <v>3</v>
      </c>
      <c r="D47" s="2">
        <v>1</v>
      </c>
      <c r="E47" s="2">
        <v>0</v>
      </c>
      <c r="F47" s="2">
        <v>0</v>
      </c>
      <c r="G47" s="2">
        <v>2</v>
      </c>
      <c r="H47" s="2">
        <v>2</v>
      </c>
      <c r="I47" s="2">
        <f t="shared" si="0"/>
        <v>20</v>
      </c>
      <c r="J47" s="2">
        <f t="shared" si="1"/>
        <v>0</v>
      </c>
      <c r="K47" s="2">
        <f t="shared" si="2"/>
        <v>0</v>
      </c>
      <c r="L47" s="2">
        <f t="shared" si="3"/>
        <v>40</v>
      </c>
      <c r="M47" s="2">
        <f t="shared" si="4"/>
        <v>40</v>
      </c>
      <c r="N47" s="2">
        <v>0</v>
      </c>
      <c r="O47" s="2">
        <f t="shared" si="5"/>
        <v>3</v>
      </c>
      <c r="P47" s="2">
        <v>1</v>
      </c>
      <c r="Q47" s="2">
        <v>0</v>
      </c>
      <c r="R47" s="2">
        <v>0</v>
      </c>
      <c r="S47" s="2">
        <v>0</v>
      </c>
      <c r="T47" s="2">
        <v>2</v>
      </c>
      <c r="U47" s="2">
        <v>0</v>
      </c>
    </row>
    <row r="48" spans="1:21" ht="15.75" customHeight="1" x14ac:dyDescent="0.4">
      <c r="A48" s="1" t="s">
        <v>23</v>
      </c>
      <c r="B48" t="s">
        <v>109</v>
      </c>
      <c r="C48" s="2">
        <v>3</v>
      </c>
      <c r="D48" s="2">
        <v>2</v>
      </c>
      <c r="E48" s="2">
        <v>1</v>
      </c>
      <c r="F48" s="2">
        <v>1</v>
      </c>
      <c r="G48" s="2">
        <v>0</v>
      </c>
      <c r="H48" s="2">
        <v>1</v>
      </c>
      <c r="I48" s="2">
        <f t="shared" si="0"/>
        <v>40</v>
      </c>
      <c r="J48" s="2">
        <f t="shared" si="1"/>
        <v>20</v>
      </c>
      <c r="K48" s="2">
        <f t="shared" si="2"/>
        <v>20</v>
      </c>
      <c r="L48" s="2">
        <f t="shared" si="3"/>
        <v>0</v>
      </c>
      <c r="M48" s="2">
        <f t="shared" si="4"/>
        <v>20</v>
      </c>
      <c r="N48" s="2">
        <v>1</v>
      </c>
      <c r="O48" s="2">
        <f t="shared" si="5"/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</row>
    <row r="49" spans="1:22" ht="15.75" customHeight="1" x14ac:dyDescent="0.4">
      <c r="A49" s="1" t="s">
        <v>24</v>
      </c>
      <c r="B49" t="s">
        <v>110</v>
      </c>
      <c r="C49" s="2">
        <v>3</v>
      </c>
      <c r="D49" s="2">
        <v>1</v>
      </c>
      <c r="E49" s="2">
        <v>1</v>
      </c>
      <c r="F49" s="2">
        <v>2</v>
      </c>
      <c r="G49" s="2">
        <v>0</v>
      </c>
      <c r="H49" s="2">
        <v>0</v>
      </c>
      <c r="I49" s="2">
        <f t="shared" si="0"/>
        <v>25</v>
      </c>
      <c r="J49" s="2">
        <f t="shared" si="1"/>
        <v>25</v>
      </c>
      <c r="K49" s="2">
        <f t="shared" si="2"/>
        <v>50</v>
      </c>
      <c r="L49" s="2">
        <f t="shared" si="3"/>
        <v>0</v>
      </c>
      <c r="M49" s="2">
        <f t="shared" si="4"/>
        <v>0</v>
      </c>
      <c r="N49" s="2">
        <v>0</v>
      </c>
      <c r="O49" s="2">
        <f t="shared" si="5"/>
        <v>3</v>
      </c>
      <c r="P49" s="2">
        <v>1</v>
      </c>
      <c r="Q49" s="2">
        <v>0</v>
      </c>
      <c r="R49" s="2">
        <v>2</v>
      </c>
      <c r="S49" s="2">
        <v>0</v>
      </c>
      <c r="T49" s="2">
        <v>0</v>
      </c>
      <c r="U49" s="2">
        <v>0</v>
      </c>
    </row>
    <row r="50" spans="1:22" ht="15.75" customHeight="1" x14ac:dyDescent="0.4">
      <c r="P50" s="3">
        <f t="shared" ref="P50:U50" si="6">SUM(P2:P49)</f>
        <v>86</v>
      </c>
      <c r="Q50" s="3">
        <f t="shared" si="6"/>
        <v>25</v>
      </c>
      <c r="R50" s="3">
        <f t="shared" si="6"/>
        <v>26</v>
      </c>
      <c r="S50" s="3">
        <f t="shared" si="6"/>
        <v>15</v>
      </c>
      <c r="T50" s="3">
        <f t="shared" si="6"/>
        <v>33</v>
      </c>
      <c r="U50" s="3">
        <f t="shared" si="6"/>
        <v>24</v>
      </c>
      <c r="V50" s="2">
        <f>SUM(P50:U50)</f>
        <v>209</v>
      </c>
    </row>
    <row r="51" spans="1:22" ht="15.75" customHeight="1" x14ac:dyDescent="0.4"/>
    <row r="52" spans="1:22" ht="15.75" customHeight="1" x14ac:dyDescent="0.4"/>
    <row r="53" spans="1:22" ht="15.75" customHeight="1" x14ac:dyDescent="0.4"/>
    <row r="54" spans="1:22" ht="15.75" customHeight="1" x14ac:dyDescent="0.4"/>
    <row r="55" spans="1:22" ht="15.75" customHeight="1" x14ac:dyDescent="0.4"/>
    <row r="56" spans="1:22" ht="15.75" customHeight="1" x14ac:dyDescent="0.4"/>
    <row r="57" spans="1:22" ht="15.75" customHeight="1" x14ac:dyDescent="0.4"/>
    <row r="58" spans="1:22" ht="15.75" customHeight="1" x14ac:dyDescent="0.4"/>
    <row r="59" spans="1:22" ht="15.75" customHeight="1" x14ac:dyDescent="0.4"/>
    <row r="60" spans="1:22" ht="15.75" customHeight="1" x14ac:dyDescent="0.4"/>
    <row r="61" spans="1:22" ht="15.75" customHeight="1" x14ac:dyDescent="0.4"/>
    <row r="62" spans="1:22" ht="15.75" customHeight="1" x14ac:dyDescent="0.4"/>
    <row r="63" spans="1:22" ht="15.75" customHeight="1" x14ac:dyDescent="0.4"/>
    <row r="64" spans="1:2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sortState xmlns:xlrd2="http://schemas.microsoft.com/office/spreadsheetml/2017/richdata2" ref="A2:V50">
    <sortCondition ref="A2:A50"/>
  </sortState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D6C8-176A-4055-A8AD-6AB199C29113}">
  <dimension ref="A1:U49"/>
  <sheetViews>
    <sheetView tabSelected="1" workbookViewId="0">
      <selection activeCell="E29" sqref="E29"/>
    </sheetView>
  </sheetViews>
  <sheetFormatPr defaultRowHeight="16" x14ac:dyDescent="0.4"/>
  <sheetData>
    <row r="1" spans="1:21" x14ac:dyDescent="0.4">
      <c r="A1" s="1" t="s">
        <v>0</v>
      </c>
      <c r="B1" t="s">
        <v>111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4">
      <c r="A2" s="1" t="s">
        <v>25</v>
      </c>
      <c r="B2" t="s">
        <v>63</v>
      </c>
      <c r="C2" s="2">
        <v>4</v>
      </c>
      <c r="D2" s="2">
        <v>0</v>
      </c>
      <c r="E2" s="2">
        <v>1</v>
      </c>
      <c r="F2" s="2">
        <v>0</v>
      </c>
      <c r="G2" s="2">
        <v>1</v>
      </c>
      <c r="H2" s="2">
        <v>3</v>
      </c>
      <c r="I2" s="2">
        <f t="shared" ref="I2:I49" si="0">D2/(SUM($D2:$H2))*100</f>
        <v>0</v>
      </c>
      <c r="J2" s="2">
        <f t="shared" ref="J2:J49" si="1">E2/(SUM($D2:$H2))*100</f>
        <v>20</v>
      </c>
      <c r="K2" s="2">
        <f t="shared" ref="K2:M49" si="2">F2/(SUM($D2:$H2))*100</f>
        <v>0</v>
      </c>
      <c r="L2" s="2">
        <f t="shared" si="2"/>
        <v>20</v>
      </c>
      <c r="M2" s="2">
        <f t="shared" si="2"/>
        <v>60</v>
      </c>
      <c r="N2" s="2">
        <v>0</v>
      </c>
      <c r="O2" s="2">
        <f t="shared" ref="O2:O49" si="3">C2-N2</f>
        <v>4</v>
      </c>
      <c r="P2" s="2">
        <v>1</v>
      </c>
      <c r="Q2" s="2">
        <v>0</v>
      </c>
      <c r="R2" s="2">
        <v>0</v>
      </c>
      <c r="S2" s="2">
        <v>1</v>
      </c>
      <c r="T2" s="2">
        <v>1</v>
      </c>
      <c r="U2" s="2">
        <v>1</v>
      </c>
    </row>
    <row r="3" spans="1:21" x14ac:dyDescent="0.4">
      <c r="A3" s="1" t="s">
        <v>26</v>
      </c>
      <c r="B3" t="s">
        <v>64</v>
      </c>
      <c r="C3" s="2">
        <v>4</v>
      </c>
      <c r="D3" s="2">
        <v>1</v>
      </c>
      <c r="E3" s="2">
        <v>1</v>
      </c>
      <c r="F3" s="2">
        <v>0</v>
      </c>
      <c r="G3" s="2">
        <v>0</v>
      </c>
      <c r="H3" s="2">
        <v>2</v>
      </c>
      <c r="I3" s="2">
        <f t="shared" si="0"/>
        <v>25</v>
      </c>
      <c r="J3" s="2">
        <f t="shared" si="1"/>
        <v>25</v>
      </c>
      <c r="K3" s="2">
        <f t="shared" si="2"/>
        <v>0</v>
      </c>
      <c r="L3" s="2">
        <f t="shared" si="2"/>
        <v>0</v>
      </c>
      <c r="M3" s="2">
        <f t="shared" si="2"/>
        <v>50</v>
      </c>
      <c r="N3" s="2">
        <v>1</v>
      </c>
      <c r="O3" s="2">
        <f t="shared" si="3"/>
        <v>3</v>
      </c>
      <c r="P3" s="2">
        <v>3</v>
      </c>
      <c r="Q3" s="2">
        <v>0</v>
      </c>
      <c r="R3" s="2">
        <v>0</v>
      </c>
      <c r="S3" s="2">
        <v>1</v>
      </c>
      <c r="T3" s="2">
        <v>0</v>
      </c>
      <c r="U3" s="2">
        <v>0</v>
      </c>
    </row>
    <row r="4" spans="1:21" x14ac:dyDescent="0.4">
      <c r="A4" s="1" t="s">
        <v>16</v>
      </c>
      <c r="B4" t="s">
        <v>65</v>
      </c>
      <c r="C4" s="2">
        <v>2</v>
      </c>
      <c r="D4" s="2">
        <v>0</v>
      </c>
      <c r="E4" s="2">
        <v>1</v>
      </c>
      <c r="F4" s="2">
        <v>0</v>
      </c>
      <c r="G4" s="2">
        <v>0</v>
      </c>
      <c r="H4" s="2">
        <v>1</v>
      </c>
      <c r="I4" s="2">
        <f t="shared" si="0"/>
        <v>0</v>
      </c>
      <c r="J4" s="2">
        <f t="shared" si="1"/>
        <v>50</v>
      </c>
      <c r="K4" s="2">
        <f t="shared" si="2"/>
        <v>0</v>
      </c>
      <c r="L4" s="2">
        <f t="shared" si="2"/>
        <v>0</v>
      </c>
      <c r="M4" s="2">
        <f t="shared" si="2"/>
        <v>50</v>
      </c>
      <c r="N4" s="2">
        <v>0</v>
      </c>
      <c r="O4" s="2">
        <f t="shared" si="3"/>
        <v>2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4">
      <c r="A5" s="1" t="s">
        <v>27</v>
      </c>
      <c r="B5" t="s">
        <v>66</v>
      </c>
      <c r="C5" s="2">
        <v>4</v>
      </c>
      <c r="D5" s="2">
        <v>1</v>
      </c>
      <c r="E5" s="2">
        <v>2</v>
      </c>
      <c r="F5" s="2">
        <v>0</v>
      </c>
      <c r="G5" s="2">
        <v>0</v>
      </c>
      <c r="H5" s="2">
        <v>1</v>
      </c>
      <c r="I5" s="2">
        <f t="shared" si="0"/>
        <v>25</v>
      </c>
      <c r="J5" s="2">
        <f t="shared" si="1"/>
        <v>50</v>
      </c>
      <c r="K5" s="2">
        <f t="shared" si="2"/>
        <v>0</v>
      </c>
      <c r="L5" s="2">
        <f t="shared" si="2"/>
        <v>0</v>
      </c>
      <c r="M5" s="2">
        <f t="shared" si="2"/>
        <v>25</v>
      </c>
      <c r="N5" s="2">
        <v>1</v>
      </c>
      <c r="O5" s="2">
        <f t="shared" si="3"/>
        <v>3</v>
      </c>
      <c r="P5" s="2">
        <v>4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4">
      <c r="A6" s="1" t="s">
        <v>55</v>
      </c>
      <c r="B6" t="s">
        <v>67</v>
      </c>
      <c r="C6" s="2">
        <v>6</v>
      </c>
      <c r="D6" s="2">
        <v>1</v>
      </c>
      <c r="E6" s="2">
        <v>1</v>
      </c>
      <c r="F6" s="2">
        <v>2</v>
      </c>
      <c r="G6" s="2">
        <v>1</v>
      </c>
      <c r="H6" s="2">
        <v>2</v>
      </c>
      <c r="I6" s="2">
        <f t="shared" si="0"/>
        <v>14.285714285714285</v>
      </c>
      <c r="J6" s="2">
        <f t="shared" si="1"/>
        <v>14.285714285714285</v>
      </c>
      <c r="K6" s="2">
        <f t="shared" si="2"/>
        <v>28.571428571428569</v>
      </c>
      <c r="L6" s="2">
        <f t="shared" si="2"/>
        <v>14.285714285714285</v>
      </c>
      <c r="M6" s="2">
        <f t="shared" si="2"/>
        <v>28.571428571428569</v>
      </c>
      <c r="N6" s="2">
        <v>1</v>
      </c>
      <c r="O6" s="2">
        <f t="shared" si="3"/>
        <v>5</v>
      </c>
      <c r="P6" s="2">
        <v>1</v>
      </c>
      <c r="Q6" s="2">
        <v>1</v>
      </c>
      <c r="R6" s="2">
        <v>1</v>
      </c>
      <c r="S6" s="2">
        <v>2</v>
      </c>
      <c r="T6" s="2">
        <v>0</v>
      </c>
      <c r="U6" s="2">
        <v>1</v>
      </c>
    </row>
    <row r="7" spans="1:21" x14ac:dyDescent="0.4">
      <c r="A7" s="1" t="s">
        <v>43</v>
      </c>
      <c r="B7" t="s">
        <v>68</v>
      </c>
      <c r="C7" s="2">
        <v>5</v>
      </c>
      <c r="D7" s="2">
        <v>2</v>
      </c>
      <c r="E7" s="2">
        <v>1</v>
      </c>
      <c r="F7" s="2">
        <v>1</v>
      </c>
      <c r="G7" s="2">
        <v>1</v>
      </c>
      <c r="H7" s="2">
        <v>1</v>
      </c>
      <c r="I7" s="2">
        <f t="shared" si="0"/>
        <v>33.333333333333329</v>
      </c>
      <c r="J7" s="2">
        <f t="shared" si="1"/>
        <v>16.666666666666664</v>
      </c>
      <c r="K7" s="2">
        <f t="shared" si="2"/>
        <v>16.666666666666664</v>
      </c>
      <c r="L7" s="2">
        <f t="shared" si="2"/>
        <v>16.666666666666664</v>
      </c>
      <c r="M7" s="2">
        <f t="shared" si="2"/>
        <v>16.666666666666664</v>
      </c>
      <c r="N7" s="2">
        <v>2</v>
      </c>
      <c r="O7" s="2">
        <f t="shared" si="3"/>
        <v>3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0</v>
      </c>
    </row>
    <row r="8" spans="1:21" x14ac:dyDescent="0.4">
      <c r="A8" s="1" t="s">
        <v>28</v>
      </c>
      <c r="B8" t="s">
        <v>69</v>
      </c>
      <c r="C8" s="2">
        <v>4</v>
      </c>
      <c r="D8" s="2">
        <v>2</v>
      </c>
      <c r="E8" s="2">
        <v>1</v>
      </c>
      <c r="F8" s="2">
        <v>1</v>
      </c>
      <c r="G8" s="2">
        <v>0</v>
      </c>
      <c r="H8" s="2">
        <v>0</v>
      </c>
      <c r="I8" s="2">
        <f t="shared" si="0"/>
        <v>50</v>
      </c>
      <c r="J8" s="2">
        <f t="shared" si="1"/>
        <v>25</v>
      </c>
      <c r="K8" s="2">
        <f t="shared" si="2"/>
        <v>25</v>
      </c>
      <c r="L8" s="2">
        <f t="shared" si="2"/>
        <v>0</v>
      </c>
      <c r="M8" s="2">
        <f t="shared" si="2"/>
        <v>0</v>
      </c>
      <c r="N8" s="2">
        <v>2</v>
      </c>
      <c r="O8" s="2">
        <f t="shared" si="3"/>
        <v>2</v>
      </c>
      <c r="P8" s="2">
        <v>4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4">
      <c r="A9" s="1" t="s">
        <v>29</v>
      </c>
      <c r="B9" t="s">
        <v>70</v>
      </c>
      <c r="C9" s="2">
        <v>4</v>
      </c>
      <c r="D9" s="2">
        <v>2</v>
      </c>
      <c r="E9" s="2">
        <v>1</v>
      </c>
      <c r="F9" s="2">
        <v>0</v>
      </c>
      <c r="G9" s="2">
        <v>1</v>
      </c>
      <c r="H9" s="2">
        <v>2</v>
      </c>
      <c r="I9" s="2">
        <f t="shared" si="0"/>
        <v>33.333333333333329</v>
      </c>
      <c r="J9" s="2">
        <f t="shared" si="1"/>
        <v>16.666666666666664</v>
      </c>
      <c r="K9" s="2">
        <f t="shared" si="2"/>
        <v>0</v>
      </c>
      <c r="L9" s="2">
        <f t="shared" si="2"/>
        <v>16.666666666666664</v>
      </c>
      <c r="M9" s="2">
        <f t="shared" si="2"/>
        <v>33.333333333333329</v>
      </c>
      <c r="N9" s="2">
        <v>2</v>
      </c>
      <c r="O9" s="2">
        <f t="shared" si="3"/>
        <v>2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</row>
    <row r="10" spans="1:21" x14ac:dyDescent="0.4">
      <c r="A10" s="1" t="s">
        <v>30</v>
      </c>
      <c r="B10" t="s">
        <v>71</v>
      </c>
      <c r="C10" s="2">
        <v>4</v>
      </c>
      <c r="D10" s="2">
        <v>1</v>
      </c>
      <c r="E10" s="2">
        <v>0</v>
      </c>
      <c r="F10" s="2">
        <v>1</v>
      </c>
      <c r="G10" s="2">
        <v>2</v>
      </c>
      <c r="H10" s="2">
        <v>4</v>
      </c>
      <c r="I10" s="2">
        <f t="shared" si="0"/>
        <v>12.5</v>
      </c>
      <c r="J10" s="2">
        <f t="shared" si="1"/>
        <v>0</v>
      </c>
      <c r="K10" s="2">
        <f t="shared" si="2"/>
        <v>12.5</v>
      </c>
      <c r="L10" s="2">
        <f t="shared" si="2"/>
        <v>25</v>
      </c>
      <c r="M10" s="2">
        <f t="shared" si="2"/>
        <v>50</v>
      </c>
      <c r="N10" s="2">
        <v>0</v>
      </c>
      <c r="O10" s="2">
        <f t="shared" si="3"/>
        <v>4</v>
      </c>
      <c r="P10" s="2">
        <v>0</v>
      </c>
      <c r="Q10" s="2">
        <v>0</v>
      </c>
      <c r="R10" s="2">
        <v>1</v>
      </c>
      <c r="S10" s="2">
        <v>0</v>
      </c>
      <c r="T10" s="2">
        <v>2</v>
      </c>
      <c r="U10" s="2">
        <v>1</v>
      </c>
    </row>
    <row r="11" spans="1:21" x14ac:dyDescent="0.4">
      <c r="A11" s="1" t="s">
        <v>17</v>
      </c>
      <c r="B11" t="s">
        <v>72</v>
      </c>
      <c r="C11" s="2">
        <v>3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f t="shared" si="0"/>
        <v>25</v>
      </c>
      <c r="J11" s="2">
        <f t="shared" si="1"/>
        <v>0</v>
      </c>
      <c r="K11" s="2">
        <f t="shared" si="2"/>
        <v>25</v>
      </c>
      <c r="L11" s="2">
        <f t="shared" si="2"/>
        <v>25</v>
      </c>
      <c r="M11" s="2">
        <f t="shared" si="2"/>
        <v>25</v>
      </c>
      <c r="N11" s="2">
        <v>0</v>
      </c>
      <c r="O11" s="2">
        <f t="shared" si="3"/>
        <v>3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</row>
    <row r="12" spans="1:21" x14ac:dyDescent="0.4">
      <c r="A12" s="1" t="s">
        <v>18</v>
      </c>
      <c r="B12" t="s">
        <v>73</v>
      </c>
      <c r="C12" s="2">
        <v>3</v>
      </c>
      <c r="D12" s="2">
        <v>1</v>
      </c>
      <c r="E12" s="2">
        <v>0</v>
      </c>
      <c r="F12" s="2">
        <v>0</v>
      </c>
      <c r="G12" s="2">
        <v>1</v>
      </c>
      <c r="H12" s="2">
        <v>1</v>
      </c>
      <c r="I12" s="2">
        <f t="shared" si="0"/>
        <v>33.333333333333329</v>
      </c>
      <c r="J12" s="2">
        <f t="shared" si="1"/>
        <v>0</v>
      </c>
      <c r="K12" s="2">
        <f t="shared" si="2"/>
        <v>0</v>
      </c>
      <c r="L12" s="2">
        <f t="shared" si="2"/>
        <v>33.333333333333329</v>
      </c>
      <c r="M12" s="2">
        <f t="shared" si="2"/>
        <v>33.333333333333329</v>
      </c>
      <c r="N12" s="2">
        <v>1</v>
      </c>
      <c r="O12" s="2">
        <f t="shared" si="3"/>
        <v>2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</row>
    <row r="13" spans="1:21" x14ac:dyDescent="0.4">
      <c r="A13" s="1" t="s">
        <v>31</v>
      </c>
      <c r="B13" t="s">
        <v>74</v>
      </c>
      <c r="C13" s="2">
        <v>4</v>
      </c>
      <c r="D13" s="2">
        <v>2</v>
      </c>
      <c r="E13" s="2">
        <v>0</v>
      </c>
      <c r="F13" s="2">
        <v>1</v>
      </c>
      <c r="G13" s="2">
        <v>0</v>
      </c>
      <c r="H13" s="2">
        <v>2</v>
      </c>
      <c r="I13" s="2">
        <f t="shared" si="0"/>
        <v>40</v>
      </c>
      <c r="J13" s="2">
        <f t="shared" si="1"/>
        <v>0</v>
      </c>
      <c r="K13" s="2">
        <f t="shared" si="2"/>
        <v>20</v>
      </c>
      <c r="L13" s="2">
        <f t="shared" si="2"/>
        <v>0</v>
      </c>
      <c r="M13" s="2">
        <f t="shared" si="2"/>
        <v>40</v>
      </c>
      <c r="N13" s="2">
        <v>0</v>
      </c>
      <c r="O13" s="2">
        <f t="shared" si="3"/>
        <v>4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</row>
    <row r="14" spans="1:21" x14ac:dyDescent="0.4">
      <c r="A14" s="1" t="s">
        <v>44</v>
      </c>
      <c r="B14" t="s">
        <v>75</v>
      </c>
      <c r="C14" s="2">
        <v>5</v>
      </c>
      <c r="D14" s="2">
        <v>1</v>
      </c>
      <c r="E14" s="2">
        <v>0</v>
      </c>
      <c r="F14" s="2">
        <v>2</v>
      </c>
      <c r="G14" s="2">
        <v>1</v>
      </c>
      <c r="H14" s="2">
        <v>4</v>
      </c>
      <c r="I14" s="2">
        <f t="shared" si="0"/>
        <v>12.5</v>
      </c>
      <c r="J14" s="2">
        <f t="shared" si="1"/>
        <v>0</v>
      </c>
      <c r="K14" s="2">
        <f t="shared" si="2"/>
        <v>25</v>
      </c>
      <c r="L14" s="2">
        <f t="shared" si="2"/>
        <v>12.5</v>
      </c>
      <c r="M14" s="2">
        <f t="shared" si="2"/>
        <v>50</v>
      </c>
      <c r="N14" s="2">
        <v>0</v>
      </c>
      <c r="O14" s="2">
        <f t="shared" si="3"/>
        <v>5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2</v>
      </c>
    </row>
    <row r="15" spans="1:21" x14ac:dyDescent="0.4">
      <c r="A15" s="1" t="s">
        <v>32</v>
      </c>
      <c r="B15" t="s">
        <v>76</v>
      </c>
      <c r="C15" s="2">
        <v>4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f t="shared" si="0"/>
        <v>50</v>
      </c>
      <c r="J15" s="2">
        <f t="shared" si="1"/>
        <v>33.333333333333329</v>
      </c>
      <c r="K15" s="2">
        <f t="shared" si="2"/>
        <v>0</v>
      </c>
      <c r="L15" s="2">
        <f t="shared" si="2"/>
        <v>0</v>
      </c>
      <c r="M15" s="2">
        <f t="shared" si="2"/>
        <v>16.666666666666664</v>
      </c>
      <c r="N15" s="2">
        <v>1</v>
      </c>
      <c r="O15" s="2">
        <f t="shared" si="3"/>
        <v>3</v>
      </c>
      <c r="P15" s="2">
        <v>3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</row>
    <row r="16" spans="1:21" x14ac:dyDescent="0.4">
      <c r="A16" s="1" t="s">
        <v>19</v>
      </c>
      <c r="B16" t="s">
        <v>77</v>
      </c>
      <c r="C16" s="2">
        <v>3</v>
      </c>
      <c r="D16" s="2">
        <v>1</v>
      </c>
      <c r="E16" s="2">
        <v>0</v>
      </c>
      <c r="F16" s="2">
        <v>1</v>
      </c>
      <c r="G16" s="2">
        <v>1</v>
      </c>
      <c r="H16" s="2">
        <v>2</v>
      </c>
      <c r="I16" s="2">
        <f t="shared" si="0"/>
        <v>20</v>
      </c>
      <c r="J16" s="2">
        <f t="shared" si="1"/>
        <v>0</v>
      </c>
      <c r="K16" s="2">
        <f t="shared" si="2"/>
        <v>20</v>
      </c>
      <c r="L16" s="2">
        <f t="shared" si="2"/>
        <v>20</v>
      </c>
      <c r="M16" s="2">
        <f t="shared" si="2"/>
        <v>40</v>
      </c>
      <c r="N16" s="2">
        <v>0</v>
      </c>
      <c r="O16" s="2">
        <f t="shared" si="3"/>
        <v>3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1</v>
      </c>
    </row>
    <row r="17" spans="1:21" x14ac:dyDescent="0.4">
      <c r="A17" s="1" t="s">
        <v>33</v>
      </c>
      <c r="B17" t="s">
        <v>78</v>
      </c>
      <c r="C17" s="2">
        <v>4</v>
      </c>
      <c r="D17" s="2">
        <v>1</v>
      </c>
      <c r="E17" s="2">
        <v>1</v>
      </c>
      <c r="F17" s="2">
        <v>0</v>
      </c>
      <c r="G17" s="2">
        <v>3</v>
      </c>
      <c r="H17" s="2">
        <v>1</v>
      </c>
      <c r="I17" s="2">
        <f t="shared" si="0"/>
        <v>16.666666666666664</v>
      </c>
      <c r="J17" s="2">
        <f t="shared" si="1"/>
        <v>16.666666666666664</v>
      </c>
      <c r="K17" s="2">
        <f t="shared" si="2"/>
        <v>0</v>
      </c>
      <c r="L17" s="2">
        <f t="shared" si="2"/>
        <v>50</v>
      </c>
      <c r="M17" s="2">
        <f t="shared" si="2"/>
        <v>16.666666666666664</v>
      </c>
      <c r="N17" s="2">
        <v>0</v>
      </c>
      <c r="O17" s="2">
        <f t="shared" si="3"/>
        <v>4</v>
      </c>
      <c r="P17" s="2">
        <v>0</v>
      </c>
      <c r="Q17" s="2">
        <v>1</v>
      </c>
      <c r="R17" s="2">
        <v>1</v>
      </c>
      <c r="S17" s="2">
        <v>0</v>
      </c>
      <c r="T17" s="2">
        <v>2</v>
      </c>
      <c r="U17" s="2">
        <v>0</v>
      </c>
    </row>
    <row r="18" spans="1:21" x14ac:dyDescent="0.4">
      <c r="A18" s="1" t="s">
        <v>45</v>
      </c>
      <c r="B18" t="s">
        <v>79</v>
      </c>
      <c r="C18" s="2">
        <v>5</v>
      </c>
      <c r="D18" s="2">
        <v>3</v>
      </c>
      <c r="E18" s="2">
        <v>1</v>
      </c>
      <c r="F18" s="2">
        <v>1</v>
      </c>
      <c r="G18" s="2">
        <v>2</v>
      </c>
      <c r="H18" s="2">
        <v>1</v>
      </c>
      <c r="I18" s="2">
        <f t="shared" si="0"/>
        <v>37.5</v>
      </c>
      <c r="J18" s="2">
        <f t="shared" si="1"/>
        <v>12.5</v>
      </c>
      <c r="K18" s="2">
        <f t="shared" si="2"/>
        <v>12.5</v>
      </c>
      <c r="L18" s="2">
        <f t="shared" si="2"/>
        <v>25</v>
      </c>
      <c r="M18" s="2">
        <f t="shared" si="2"/>
        <v>12.5</v>
      </c>
      <c r="N18" s="2">
        <v>2</v>
      </c>
      <c r="O18" s="2">
        <f t="shared" si="3"/>
        <v>3</v>
      </c>
      <c r="P18" s="2">
        <v>3</v>
      </c>
      <c r="Q18" s="2">
        <v>0</v>
      </c>
      <c r="R18" s="2">
        <v>1</v>
      </c>
      <c r="S18" s="2">
        <v>1</v>
      </c>
      <c r="T18" s="2">
        <v>0</v>
      </c>
      <c r="U18" s="2">
        <v>0</v>
      </c>
    </row>
    <row r="19" spans="1:21" x14ac:dyDescent="0.4">
      <c r="A19" s="1" t="s">
        <v>56</v>
      </c>
      <c r="B19" t="s">
        <v>80</v>
      </c>
      <c r="C19" s="2">
        <v>6</v>
      </c>
      <c r="D19" s="2">
        <v>3</v>
      </c>
      <c r="E19" s="2">
        <v>0</v>
      </c>
      <c r="F19" s="2">
        <v>0</v>
      </c>
      <c r="G19" s="2">
        <v>2</v>
      </c>
      <c r="H19" s="2">
        <v>3</v>
      </c>
      <c r="I19" s="2">
        <f t="shared" si="0"/>
        <v>37.5</v>
      </c>
      <c r="J19" s="2">
        <f t="shared" si="1"/>
        <v>0</v>
      </c>
      <c r="K19" s="2">
        <f t="shared" si="2"/>
        <v>0</v>
      </c>
      <c r="L19" s="2">
        <f t="shared" si="2"/>
        <v>25</v>
      </c>
      <c r="M19" s="2">
        <f t="shared" si="2"/>
        <v>37.5</v>
      </c>
      <c r="N19" s="2">
        <v>2</v>
      </c>
      <c r="O19" s="2">
        <f t="shared" si="3"/>
        <v>4</v>
      </c>
      <c r="P19" s="2">
        <v>3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</row>
    <row r="20" spans="1:21" x14ac:dyDescent="0.4">
      <c r="A20" s="1" t="s">
        <v>46</v>
      </c>
      <c r="B20" t="s">
        <v>81</v>
      </c>
      <c r="C20" s="2">
        <v>5</v>
      </c>
      <c r="D20" s="2">
        <v>3</v>
      </c>
      <c r="E20" s="2">
        <v>2</v>
      </c>
      <c r="F20" s="2">
        <v>0</v>
      </c>
      <c r="G20" s="2">
        <v>1</v>
      </c>
      <c r="H20" s="2">
        <v>1</v>
      </c>
      <c r="I20" s="2">
        <f t="shared" si="0"/>
        <v>42.857142857142854</v>
      </c>
      <c r="J20" s="2">
        <f t="shared" si="1"/>
        <v>28.571428571428569</v>
      </c>
      <c r="K20" s="2">
        <f t="shared" si="2"/>
        <v>0</v>
      </c>
      <c r="L20" s="2">
        <f t="shared" si="2"/>
        <v>14.285714285714285</v>
      </c>
      <c r="M20" s="2">
        <f t="shared" si="2"/>
        <v>14.285714285714285</v>
      </c>
      <c r="N20" s="2">
        <v>2</v>
      </c>
      <c r="O20" s="2">
        <f t="shared" si="3"/>
        <v>3</v>
      </c>
      <c r="P20" s="2">
        <v>4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4">
      <c r="A21" s="1" t="s">
        <v>47</v>
      </c>
      <c r="B21" t="s">
        <v>82</v>
      </c>
      <c r="C21" s="2">
        <v>5</v>
      </c>
      <c r="D21" s="2">
        <v>1</v>
      </c>
      <c r="E21" s="2">
        <v>0</v>
      </c>
      <c r="F21" s="2">
        <v>1</v>
      </c>
      <c r="G21" s="2">
        <v>1</v>
      </c>
      <c r="H21" s="2">
        <v>2</v>
      </c>
      <c r="I21" s="2">
        <f t="shared" si="0"/>
        <v>20</v>
      </c>
      <c r="J21" s="2">
        <f t="shared" si="1"/>
        <v>0</v>
      </c>
      <c r="K21" s="2">
        <f t="shared" si="2"/>
        <v>20</v>
      </c>
      <c r="L21" s="2">
        <f t="shared" si="2"/>
        <v>20</v>
      </c>
      <c r="M21" s="2">
        <f t="shared" si="2"/>
        <v>40</v>
      </c>
      <c r="N21" s="2">
        <v>1</v>
      </c>
      <c r="O21" s="2">
        <f t="shared" si="3"/>
        <v>4</v>
      </c>
      <c r="P21" s="2">
        <v>2</v>
      </c>
      <c r="Q21" s="2">
        <v>0</v>
      </c>
      <c r="R21" s="2">
        <v>0</v>
      </c>
      <c r="S21" s="2">
        <v>2</v>
      </c>
      <c r="T21" s="2">
        <v>0</v>
      </c>
      <c r="U21" s="2">
        <v>1</v>
      </c>
    </row>
    <row r="22" spans="1:21" x14ac:dyDescent="0.4">
      <c r="A22" s="1" t="s">
        <v>48</v>
      </c>
      <c r="B22" t="s">
        <v>83</v>
      </c>
      <c r="C22" s="2">
        <v>5</v>
      </c>
      <c r="D22" s="2">
        <v>1</v>
      </c>
      <c r="E22" s="2">
        <v>1</v>
      </c>
      <c r="F22" s="2">
        <v>0</v>
      </c>
      <c r="G22" s="2">
        <v>1</v>
      </c>
      <c r="H22" s="2">
        <v>3</v>
      </c>
      <c r="I22" s="2">
        <f t="shared" si="0"/>
        <v>16.666666666666664</v>
      </c>
      <c r="J22" s="2">
        <f t="shared" si="1"/>
        <v>16.666666666666664</v>
      </c>
      <c r="K22" s="2">
        <f t="shared" si="2"/>
        <v>0</v>
      </c>
      <c r="L22" s="2">
        <f t="shared" si="2"/>
        <v>16.666666666666664</v>
      </c>
      <c r="M22" s="2">
        <f t="shared" si="2"/>
        <v>50</v>
      </c>
      <c r="N22" s="2">
        <v>1</v>
      </c>
      <c r="O22" s="2">
        <f t="shared" si="3"/>
        <v>4</v>
      </c>
      <c r="P22" s="2">
        <v>4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</row>
    <row r="23" spans="1:21" x14ac:dyDescent="0.4">
      <c r="A23" s="1" t="s">
        <v>15</v>
      </c>
      <c r="B23" t="s">
        <v>84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f t="shared" si="0"/>
        <v>0</v>
      </c>
      <c r="J23" s="2">
        <f t="shared" si="1"/>
        <v>100</v>
      </c>
      <c r="K23" s="2">
        <f t="shared" si="2"/>
        <v>0</v>
      </c>
      <c r="L23" s="2">
        <f t="shared" si="2"/>
        <v>0</v>
      </c>
      <c r="M23" s="2">
        <f t="shared" si="2"/>
        <v>0</v>
      </c>
      <c r="N23" s="2">
        <v>0</v>
      </c>
      <c r="O23" s="2">
        <f t="shared" si="3"/>
        <v>1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4">
      <c r="A24" s="1" t="s">
        <v>34</v>
      </c>
      <c r="B24" t="s">
        <v>85</v>
      </c>
      <c r="C24" s="2">
        <v>4</v>
      </c>
      <c r="D24" s="2">
        <v>1</v>
      </c>
      <c r="E24" s="2">
        <v>1</v>
      </c>
      <c r="F24" s="2">
        <v>1</v>
      </c>
      <c r="G24" s="2">
        <v>1</v>
      </c>
      <c r="H24" s="2">
        <v>2</v>
      </c>
      <c r="I24" s="2">
        <f t="shared" si="0"/>
        <v>16.666666666666664</v>
      </c>
      <c r="J24" s="2">
        <f t="shared" si="1"/>
        <v>16.666666666666664</v>
      </c>
      <c r="K24" s="2">
        <f t="shared" si="2"/>
        <v>16.666666666666664</v>
      </c>
      <c r="L24" s="2">
        <f t="shared" si="2"/>
        <v>16.666666666666664</v>
      </c>
      <c r="M24" s="2">
        <f t="shared" si="2"/>
        <v>33.333333333333329</v>
      </c>
      <c r="N24" s="2">
        <v>1</v>
      </c>
      <c r="O24" s="2">
        <f t="shared" si="3"/>
        <v>3</v>
      </c>
      <c r="P24" s="2">
        <v>1</v>
      </c>
      <c r="Q24" s="2">
        <v>1</v>
      </c>
      <c r="R24" s="2">
        <v>0</v>
      </c>
      <c r="S24" s="2">
        <v>0</v>
      </c>
      <c r="T24" s="2">
        <v>1</v>
      </c>
      <c r="U24" s="2">
        <v>1</v>
      </c>
    </row>
    <row r="25" spans="1:21" x14ac:dyDescent="0.4">
      <c r="A25" s="1" t="s">
        <v>49</v>
      </c>
      <c r="B25" t="s">
        <v>86</v>
      </c>
      <c r="C25" s="2">
        <v>5</v>
      </c>
      <c r="D25" s="2">
        <v>2</v>
      </c>
      <c r="E25" s="2">
        <v>0</v>
      </c>
      <c r="F25" s="2">
        <v>2</v>
      </c>
      <c r="G25" s="2">
        <v>0</v>
      </c>
      <c r="H25" s="2">
        <v>2</v>
      </c>
      <c r="I25" s="2">
        <f t="shared" si="0"/>
        <v>33.333333333333329</v>
      </c>
      <c r="J25" s="2">
        <f t="shared" si="1"/>
        <v>0</v>
      </c>
      <c r="K25" s="2">
        <f t="shared" si="2"/>
        <v>33.333333333333329</v>
      </c>
      <c r="L25" s="2">
        <f t="shared" si="2"/>
        <v>0</v>
      </c>
      <c r="M25" s="2">
        <f t="shared" si="2"/>
        <v>33.333333333333329</v>
      </c>
      <c r="N25" s="2">
        <v>1</v>
      </c>
      <c r="O25" s="2">
        <f t="shared" si="3"/>
        <v>4</v>
      </c>
      <c r="P25" s="2">
        <v>2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</row>
    <row r="26" spans="1:21" x14ac:dyDescent="0.4">
      <c r="A26" s="1" t="s">
        <v>20</v>
      </c>
      <c r="B26" t="s">
        <v>87</v>
      </c>
      <c r="C26" s="2">
        <v>3</v>
      </c>
      <c r="D26" s="2">
        <v>0</v>
      </c>
      <c r="E26" s="2">
        <v>1</v>
      </c>
      <c r="F26" s="2">
        <v>1</v>
      </c>
      <c r="G26" s="2">
        <v>2</v>
      </c>
      <c r="H26" s="2">
        <v>1</v>
      </c>
      <c r="I26" s="2">
        <f t="shared" si="0"/>
        <v>0</v>
      </c>
      <c r="J26" s="2">
        <f t="shared" si="1"/>
        <v>20</v>
      </c>
      <c r="K26" s="2">
        <f t="shared" si="2"/>
        <v>20</v>
      </c>
      <c r="L26" s="2">
        <f t="shared" si="2"/>
        <v>40</v>
      </c>
      <c r="M26" s="2">
        <f t="shared" si="2"/>
        <v>20</v>
      </c>
      <c r="N26" s="2">
        <v>0</v>
      </c>
      <c r="O26" s="2">
        <f t="shared" si="3"/>
        <v>3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</row>
    <row r="27" spans="1:21" x14ac:dyDescent="0.4">
      <c r="A27" s="1" t="s">
        <v>35</v>
      </c>
      <c r="B27" t="s">
        <v>88</v>
      </c>
      <c r="C27" s="2">
        <v>4</v>
      </c>
      <c r="D27" s="2">
        <v>2</v>
      </c>
      <c r="E27" s="2">
        <v>0</v>
      </c>
      <c r="F27" s="2">
        <v>0</v>
      </c>
      <c r="G27" s="2">
        <v>1</v>
      </c>
      <c r="H27" s="2">
        <v>2</v>
      </c>
      <c r="I27" s="2">
        <f t="shared" si="0"/>
        <v>40</v>
      </c>
      <c r="J27" s="2">
        <f t="shared" si="1"/>
        <v>0</v>
      </c>
      <c r="K27" s="2">
        <f t="shared" si="2"/>
        <v>0</v>
      </c>
      <c r="L27" s="2">
        <f t="shared" si="2"/>
        <v>20</v>
      </c>
      <c r="M27" s="2">
        <f t="shared" si="2"/>
        <v>40</v>
      </c>
      <c r="N27" s="2">
        <v>1</v>
      </c>
      <c r="O27" s="2">
        <f t="shared" si="3"/>
        <v>3</v>
      </c>
      <c r="P27" s="2">
        <v>1</v>
      </c>
      <c r="Q27" s="2">
        <v>1</v>
      </c>
      <c r="R27" s="2">
        <v>0</v>
      </c>
      <c r="S27" s="2">
        <v>0</v>
      </c>
      <c r="T27" s="2">
        <v>1</v>
      </c>
      <c r="U27" s="2">
        <v>1</v>
      </c>
    </row>
    <row r="28" spans="1:21" x14ac:dyDescent="0.4">
      <c r="A28" s="1" t="s">
        <v>21</v>
      </c>
      <c r="B28" t="s">
        <v>89</v>
      </c>
      <c r="C28" s="2">
        <v>3</v>
      </c>
      <c r="D28" s="2">
        <v>2</v>
      </c>
      <c r="E28" s="2">
        <v>1</v>
      </c>
      <c r="F28" s="2">
        <v>0</v>
      </c>
      <c r="G28" s="2">
        <v>0</v>
      </c>
      <c r="H28" s="2">
        <v>0</v>
      </c>
      <c r="I28" s="2">
        <f t="shared" si="0"/>
        <v>66.666666666666657</v>
      </c>
      <c r="J28" s="2">
        <f t="shared" si="1"/>
        <v>33.333333333333329</v>
      </c>
      <c r="K28" s="2">
        <f t="shared" si="2"/>
        <v>0</v>
      </c>
      <c r="L28" s="2">
        <f t="shared" si="2"/>
        <v>0</v>
      </c>
      <c r="M28" s="2">
        <f t="shared" si="2"/>
        <v>0</v>
      </c>
      <c r="N28" s="2">
        <v>2</v>
      </c>
      <c r="O28" s="2">
        <f t="shared" si="3"/>
        <v>1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4">
      <c r="A29" s="1" t="s">
        <v>57</v>
      </c>
      <c r="B29" t="s">
        <v>90</v>
      </c>
      <c r="C29" s="2">
        <v>6</v>
      </c>
      <c r="D29" s="2">
        <v>3</v>
      </c>
      <c r="E29" s="2">
        <v>1</v>
      </c>
      <c r="F29" s="2">
        <v>1</v>
      </c>
      <c r="G29" s="2">
        <v>2</v>
      </c>
      <c r="H29" s="2">
        <v>0</v>
      </c>
      <c r="I29" s="2">
        <f t="shared" si="0"/>
        <v>42.857142857142854</v>
      </c>
      <c r="J29" s="2">
        <f t="shared" si="1"/>
        <v>14.285714285714285</v>
      </c>
      <c r="K29" s="2">
        <f t="shared" si="2"/>
        <v>14.285714285714285</v>
      </c>
      <c r="L29" s="2">
        <f t="shared" si="2"/>
        <v>28.571428571428569</v>
      </c>
      <c r="M29" s="2">
        <f t="shared" si="2"/>
        <v>0</v>
      </c>
      <c r="N29" s="2">
        <v>3</v>
      </c>
      <c r="O29" s="2">
        <f t="shared" si="3"/>
        <v>3</v>
      </c>
      <c r="P29" s="2">
        <v>4</v>
      </c>
      <c r="Q29" s="2">
        <v>0</v>
      </c>
      <c r="R29" s="2">
        <v>1</v>
      </c>
      <c r="S29" s="2">
        <v>0</v>
      </c>
      <c r="T29" s="2">
        <v>1</v>
      </c>
      <c r="U29" s="2">
        <v>0</v>
      </c>
    </row>
    <row r="30" spans="1:21" x14ac:dyDescent="0.4">
      <c r="A30" s="1" t="s">
        <v>50</v>
      </c>
      <c r="B30" t="s">
        <v>91</v>
      </c>
      <c r="C30" s="2">
        <v>5</v>
      </c>
      <c r="D30" s="2">
        <v>2</v>
      </c>
      <c r="E30" s="2">
        <v>0</v>
      </c>
      <c r="F30" s="2">
        <v>0</v>
      </c>
      <c r="G30" s="2">
        <v>1</v>
      </c>
      <c r="H30" s="2">
        <v>2</v>
      </c>
      <c r="I30" s="2">
        <f t="shared" si="0"/>
        <v>40</v>
      </c>
      <c r="J30" s="2">
        <f t="shared" si="1"/>
        <v>0</v>
      </c>
      <c r="K30" s="2">
        <f t="shared" si="2"/>
        <v>0</v>
      </c>
      <c r="L30" s="2">
        <f t="shared" si="2"/>
        <v>20</v>
      </c>
      <c r="M30" s="2">
        <f t="shared" si="2"/>
        <v>40</v>
      </c>
      <c r="N30" s="2">
        <v>1</v>
      </c>
      <c r="O30" s="2">
        <f t="shared" si="3"/>
        <v>4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3</v>
      </c>
    </row>
    <row r="31" spans="1:21" x14ac:dyDescent="0.4">
      <c r="A31" s="1" t="s">
        <v>51</v>
      </c>
      <c r="B31" t="s">
        <v>92</v>
      </c>
      <c r="C31" s="2">
        <v>5</v>
      </c>
      <c r="D31" s="2">
        <v>2</v>
      </c>
      <c r="E31" s="2">
        <v>1</v>
      </c>
      <c r="F31" s="2">
        <v>0</v>
      </c>
      <c r="G31" s="2">
        <v>1</v>
      </c>
      <c r="H31" s="2">
        <v>3</v>
      </c>
      <c r="I31" s="2">
        <f t="shared" si="0"/>
        <v>28.571428571428569</v>
      </c>
      <c r="J31" s="2">
        <f t="shared" si="1"/>
        <v>14.285714285714285</v>
      </c>
      <c r="K31" s="2">
        <f t="shared" si="2"/>
        <v>0</v>
      </c>
      <c r="L31" s="2">
        <f t="shared" si="2"/>
        <v>14.285714285714285</v>
      </c>
      <c r="M31" s="2">
        <f t="shared" si="2"/>
        <v>42.857142857142854</v>
      </c>
      <c r="N31" s="2">
        <v>2</v>
      </c>
      <c r="O31" s="2">
        <f t="shared" si="3"/>
        <v>3</v>
      </c>
      <c r="P31" s="2">
        <v>1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</row>
    <row r="32" spans="1:21" x14ac:dyDescent="0.4">
      <c r="A32" s="1" t="s">
        <v>62</v>
      </c>
      <c r="B32" t="s">
        <v>93</v>
      </c>
      <c r="C32" s="2">
        <v>8</v>
      </c>
      <c r="D32" s="2">
        <v>2</v>
      </c>
      <c r="E32" s="2">
        <v>2</v>
      </c>
      <c r="F32" s="2">
        <v>1</v>
      </c>
      <c r="G32" s="2">
        <v>1</v>
      </c>
      <c r="H32" s="2">
        <v>4</v>
      </c>
      <c r="I32" s="2">
        <f t="shared" si="0"/>
        <v>20</v>
      </c>
      <c r="J32" s="2">
        <f t="shared" si="1"/>
        <v>20</v>
      </c>
      <c r="K32" s="2">
        <f t="shared" si="2"/>
        <v>10</v>
      </c>
      <c r="L32" s="2">
        <f t="shared" si="2"/>
        <v>10</v>
      </c>
      <c r="M32" s="2">
        <f t="shared" si="2"/>
        <v>40</v>
      </c>
      <c r="N32" s="2">
        <v>2</v>
      </c>
      <c r="O32" s="2">
        <f t="shared" si="3"/>
        <v>6</v>
      </c>
      <c r="P32" s="2">
        <v>2</v>
      </c>
      <c r="Q32" s="2">
        <v>2</v>
      </c>
      <c r="R32" s="2">
        <v>2</v>
      </c>
      <c r="S32" s="2">
        <v>1</v>
      </c>
      <c r="T32" s="2">
        <v>1</v>
      </c>
      <c r="U32" s="2">
        <v>0</v>
      </c>
    </row>
    <row r="33" spans="1:21" x14ac:dyDescent="0.4">
      <c r="A33" s="1" t="s">
        <v>36</v>
      </c>
      <c r="B33" t="s">
        <v>94</v>
      </c>
      <c r="C33" s="2">
        <v>4</v>
      </c>
      <c r="D33" s="2">
        <v>1</v>
      </c>
      <c r="E33" s="2">
        <v>1</v>
      </c>
      <c r="F33" s="2">
        <v>0</v>
      </c>
      <c r="G33" s="2">
        <v>1</v>
      </c>
      <c r="H33" s="2">
        <v>1</v>
      </c>
      <c r="I33" s="2">
        <f t="shared" si="0"/>
        <v>25</v>
      </c>
      <c r="J33" s="2">
        <f t="shared" si="1"/>
        <v>25</v>
      </c>
      <c r="K33" s="2">
        <f t="shared" si="2"/>
        <v>0</v>
      </c>
      <c r="L33" s="2">
        <f t="shared" si="2"/>
        <v>25</v>
      </c>
      <c r="M33" s="2">
        <f t="shared" si="2"/>
        <v>25</v>
      </c>
      <c r="N33" s="2">
        <v>0</v>
      </c>
      <c r="O33" s="2">
        <f t="shared" si="3"/>
        <v>4</v>
      </c>
      <c r="P33" s="2">
        <v>1</v>
      </c>
      <c r="Q33" s="2">
        <v>1</v>
      </c>
      <c r="R33" s="2">
        <v>1</v>
      </c>
      <c r="S33" s="2">
        <v>0</v>
      </c>
      <c r="T33" s="2">
        <v>1</v>
      </c>
      <c r="U33" s="2">
        <v>0</v>
      </c>
    </row>
    <row r="34" spans="1:21" x14ac:dyDescent="0.4">
      <c r="A34" s="1" t="s">
        <v>37</v>
      </c>
      <c r="B34" t="s">
        <v>95</v>
      </c>
      <c r="C34" s="2">
        <v>4</v>
      </c>
      <c r="D34" s="2">
        <v>1</v>
      </c>
      <c r="E34" s="2">
        <v>1</v>
      </c>
      <c r="F34" s="2">
        <v>1</v>
      </c>
      <c r="G34" s="2">
        <v>1</v>
      </c>
      <c r="H34" s="2">
        <v>2</v>
      </c>
      <c r="I34" s="2">
        <f t="shared" si="0"/>
        <v>16.666666666666664</v>
      </c>
      <c r="J34" s="2">
        <f t="shared" si="1"/>
        <v>16.666666666666664</v>
      </c>
      <c r="K34" s="2">
        <f t="shared" si="2"/>
        <v>16.666666666666664</v>
      </c>
      <c r="L34" s="2">
        <f t="shared" si="2"/>
        <v>16.666666666666664</v>
      </c>
      <c r="M34" s="2">
        <f t="shared" si="2"/>
        <v>33.333333333333329</v>
      </c>
      <c r="N34" s="2">
        <v>1</v>
      </c>
      <c r="O34" s="2">
        <f t="shared" si="3"/>
        <v>3</v>
      </c>
      <c r="P34" s="2">
        <v>0</v>
      </c>
      <c r="Q34" s="2">
        <v>1</v>
      </c>
      <c r="R34" s="2">
        <v>0</v>
      </c>
      <c r="S34" s="2">
        <v>1</v>
      </c>
      <c r="T34" s="2">
        <v>1</v>
      </c>
      <c r="U34" s="2">
        <v>1</v>
      </c>
    </row>
    <row r="35" spans="1:21" x14ac:dyDescent="0.4">
      <c r="A35" s="1" t="s">
        <v>38</v>
      </c>
      <c r="B35" t="s">
        <v>96</v>
      </c>
      <c r="C35" s="2">
        <v>4</v>
      </c>
      <c r="D35" s="2">
        <v>0</v>
      </c>
      <c r="E35" s="2">
        <v>2</v>
      </c>
      <c r="F35" s="2">
        <v>0</v>
      </c>
      <c r="G35" s="2">
        <v>1</v>
      </c>
      <c r="H35" s="2">
        <v>1</v>
      </c>
      <c r="I35" s="2">
        <f t="shared" si="0"/>
        <v>0</v>
      </c>
      <c r="J35" s="2">
        <f t="shared" si="1"/>
        <v>50</v>
      </c>
      <c r="K35" s="2">
        <f t="shared" si="2"/>
        <v>0</v>
      </c>
      <c r="L35" s="2">
        <f t="shared" si="2"/>
        <v>25</v>
      </c>
      <c r="M35" s="2">
        <f t="shared" si="2"/>
        <v>25</v>
      </c>
      <c r="N35" s="2">
        <v>0</v>
      </c>
      <c r="O35" s="2">
        <f t="shared" si="3"/>
        <v>4</v>
      </c>
      <c r="P35" s="2">
        <v>1</v>
      </c>
      <c r="Q35" s="2">
        <v>1</v>
      </c>
      <c r="R35" s="2">
        <v>2</v>
      </c>
      <c r="S35" s="2">
        <v>0</v>
      </c>
      <c r="T35" s="2">
        <v>0</v>
      </c>
      <c r="U35" s="2">
        <v>0</v>
      </c>
    </row>
    <row r="36" spans="1:21" x14ac:dyDescent="0.4">
      <c r="A36" s="1" t="s">
        <v>52</v>
      </c>
      <c r="B36" t="s">
        <v>97</v>
      </c>
      <c r="C36" s="2">
        <v>5</v>
      </c>
      <c r="D36" s="2">
        <v>1</v>
      </c>
      <c r="E36" s="2">
        <v>1</v>
      </c>
      <c r="F36" s="2">
        <v>0</v>
      </c>
      <c r="G36" s="2">
        <v>1</v>
      </c>
      <c r="H36" s="2">
        <v>2</v>
      </c>
      <c r="I36" s="2">
        <f t="shared" si="0"/>
        <v>20</v>
      </c>
      <c r="J36" s="2">
        <f t="shared" si="1"/>
        <v>20</v>
      </c>
      <c r="K36" s="2">
        <f t="shared" si="2"/>
        <v>0</v>
      </c>
      <c r="L36" s="2">
        <f t="shared" si="2"/>
        <v>20</v>
      </c>
      <c r="M36" s="2">
        <f t="shared" si="2"/>
        <v>40</v>
      </c>
      <c r="N36" s="2">
        <v>1</v>
      </c>
      <c r="O36" s="2">
        <f t="shared" si="3"/>
        <v>4</v>
      </c>
      <c r="P36" s="2">
        <v>1</v>
      </c>
      <c r="Q36" s="2">
        <v>2</v>
      </c>
      <c r="R36" s="2">
        <v>0</v>
      </c>
      <c r="S36" s="2">
        <v>0</v>
      </c>
      <c r="T36" s="2">
        <v>2</v>
      </c>
      <c r="U36" s="2">
        <v>0</v>
      </c>
    </row>
    <row r="37" spans="1:21" x14ac:dyDescent="0.4">
      <c r="A37" s="1" t="s">
        <v>39</v>
      </c>
      <c r="B37" t="s">
        <v>98</v>
      </c>
      <c r="C37" s="2">
        <v>4</v>
      </c>
      <c r="D37" s="2">
        <v>2</v>
      </c>
      <c r="E37" s="2">
        <v>1</v>
      </c>
      <c r="F37" s="2">
        <v>1</v>
      </c>
      <c r="G37" s="2">
        <v>1</v>
      </c>
      <c r="H37" s="2">
        <v>1</v>
      </c>
      <c r="I37" s="2">
        <f t="shared" si="0"/>
        <v>33.333333333333329</v>
      </c>
      <c r="J37" s="2">
        <f t="shared" si="1"/>
        <v>16.666666666666664</v>
      </c>
      <c r="K37" s="2">
        <f t="shared" si="2"/>
        <v>16.666666666666664</v>
      </c>
      <c r="L37" s="2">
        <f t="shared" si="2"/>
        <v>16.666666666666664</v>
      </c>
      <c r="M37" s="2">
        <f t="shared" si="2"/>
        <v>16.666666666666664</v>
      </c>
      <c r="N37" s="2">
        <v>2</v>
      </c>
      <c r="O37" s="2">
        <f t="shared" si="3"/>
        <v>2</v>
      </c>
      <c r="P37" s="2">
        <v>3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</row>
    <row r="38" spans="1:21" x14ac:dyDescent="0.4">
      <c r="A38" s="1" t="s">
        <v>58</v>
      </c>
      <c r="B38" t="s">
        <v>99</v>
      </c>
      <c r="C38" s="2">
        <v>6</v>
      </c>
      <c r="D38" s="2">
        <v>3</v>
      </c>
      <c r="E38" s="2">
        <v>1</v>
      </c>
      <c r="F38" s="2">
        <v>0</v>
      </c>
      <c r="G38" s="2">
        <v>0</v>
      </c>
      <c r="H38" s="2">
        <v>2</v>
      </c>
      <c r="I38" s="2">
        <f t="shared" si="0"/>
        <v>50</v>
      </c>
      <c r="J38" s="2">
        <f t="shared" si="1"/>
        <v>16.666666666666664</v>
      </c>
      <c r="K38" s="2">
        <f t="shared" si="2"/>
        <v>0</v>
      </c>
      <c r="L38" s="2">
        <f t="shared" si="2"/>
        <v>0</v>
      </c>
      <c r="M38" s="2">
        <f t="shared" si="2"/>
        <v>33.333333333333329</v>
      </c>
      <c r="N38" s="2">
        <v>3</v>
      </c>
      <c r="O38" s="2">
        <f t="shared" si="3"/>
        <v>3</v>
      </c>
      <c r="P38" s="2">
        <v>3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</row>
    <row r="39" spans="1:21" x14ac:dyDescent="0.4">
      <c r="A39" s="1" t="s">
        <v>59</v>
      </c>
      <c r="B39" t="s">
        <v>100</v>
      </c>
      <c r="C39" s="2">
        <v>6</v>
      </c>
      <c r="D39" s="2">
        <v>0</v>
      </c>
      <c r="E39" s="2">
        <v>2</v>
      </c>
      <c r="F39" s="2">
        <v>2</v>
      </c>
      <c r="G39" s="2">
        <v>1</v>
      </c>
      <c r="H39" s="2">
        <v>2</v>
      </c>
      <c r="I39" s="2">
        <f t="shared" si="0"/>
        <v>0</v>
      </c>
      <c r="J39" s="2">
        <f t="shared" si="1"/>
        <v>28.571428571428569</v>
      </c>
      <c r="K39" s="2">
        <f t="shared" si="2"/>
        <v>28.571428571428569</v>
      </c>
      <c r="L39" s="2">
        <f t="shared" si="2"/>
        <v>14.285714285714285</v>
      </c>
      <c r="M39" s="2">
        <f t="shared" si="2"/>
        <v>28.571428571428569</v>
      </c>
      <c r="N39" s="2">
        <v>0</v>
      </c>
      <c r="O39" s="2">
        <f t="shared" si="3"/>
        <v>6</v>
      </c>
      <c r="P39" s="2">
        <v>3</v>
      </c>
      <c r="Q39" s="2">
        <v>1</v>
      </c>
      <c r="R39" s="2">
        <v>2</v>
      </c>
      <c r="S39" s="2">
        <v>0</v>
      </c>
      <c r="T39" s="2">
        <v>0</v>
      </c>
      <c r="U39" s="2">
        <v>0</v>
      </c>
    </row>
    <row r="40" spans="1:21" x14ac:dyDescent="0.4">
      <c r="A40" s="1" t="s">
        <v>40</v>
      </c>
      <c r="B40" t="s">
        <v>101</v>
      </c>
      <c r="C40" s="2">
        <v>4</v>
      </c>
      <c r="D40" s="2">
        <v>1</v>
      </c>
      <c r="E40" s="2">
        <v>1</v>
      </c>
      <c r="F40" s="2">
        <v>0</v>
      </c>
      <c r="G40" s="2">
        <v>1</v>
      </c>
      <c r="H40" s="2">
        <v>1</v>
      </c>
      <c r="I40" s="2">
        <f t="shared" si="0"/>
        <v>25</v>
      </c>
      <c r="J40" s="2">
        <f t="shared" si="1"/>
        <v>25</v>
      </c>
      <c r="K40" s="2">
        <f t="shared" si="2"/>
        <v>0</v>
      </c>
      <c r="L40" s="2">
        <f t="shared" si="2"/>
        <v>25</v>
      </c>
      <c r="M40" s="2">
        <f t="shared" si="2"/>
        <v>25</v>
      </c>
      <c r="N40" s="2">
        <v>0</v>
      </c>
      <c r="O40" s="2">
        <f t="shared" si="3"/>
        <v>4</v>
      </c>
      <c r="P40" s="2">
        <v>0</v>
      </c>
      <c r="Q40" s="2">
        <v>2</v>
      </c>
      <c r="R40" s="2">
        <v>0</v>
      </c>
      <c r="S40" s="2">
        <v>0</v>
      </c>
      <c r="T40" s="2">
        <v>1</v>
      </c>
      <c r="U40" s="2">
        <v>1</v>
      </c>
    </row>
    <row r="41" spans="1:21" x14ac:dyDescent="0.4">
      <c r="A41" s="1" t="s">
        <v>60</v>
      </c>
      <c r="B41" t="s">
        <v>102</v>
      </c>
      <c r="C41" s="2">
        <v>6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f t="shared" si="0"/>
        <v>11.111111111111111</v>
      </c>
      <c r="J41" s="2">
        <f t="shared" si="1"/>
        <v>11.111111111111111</v>
      </c>
      <c r="K41" s="2">
        <f t="shared" si="2"/>
        <v>22.222222222222221</v>
      </c>
      <c r="L41" s="2">
        <f t="shared" si="2"/>
        <v>22.222222222222221</v>
      </c>
      <c r="M41" s="2">
        <f t="shared" si="2"/>
        <v>33.333333333333329</v>
      </c>
      <c r="N41" s="2">
        <v>0</v>
      </c>
      <c r="O41" s="2">
        <f t="shared" si="3"/>
        <v>6</v>
      </c>
      <c r="P41" s="2">
        <v>2</v>
      </c>
      <c r="Q41" s="2">
        <v>0</v>
      </c>
      <c r="R41" s="2">
        <v>1</v>
      </c>
      <c r="S41" s="2">
        <v>1</v>
      </c>
      <c r="T41" s="2">
        <v>1</v>
      </c>
      <c r="U41" s="2">
        <v>1</v>
      </c>
    </row>
    <row r="42" spans="1:21" x14ac:dyDescent="0.4">
      <c r="A42" s="1" t="s">
        <v>53</v>
      </c>
      <c r="B42" t="s">
        <v>103</v>
      </c>
      <c r="C42" s="2">
        <v>5</v>
      </c>
      <c r="D42" s="2">
        <v>2</v>
      </c>
      <c r="E42" s="2">
        <v>1</v>
      </c>
      <c r="F42" s="2">
        <v>1</v>
      </c>
      <c r="G42" s="2">
        <v>1</v>
      </c>
      <c r="H42" s="2">
        <v>2</v>
      </c>
      <c r="I42" s="2">
        <f t="shared" si="0"/>
        <v>28.571428571428569</v>
      </c>
      <c r="J42" s="2">
        <f t="shared" si="1"/>
        <v>14.285714285714285</v>
      </c>
      <c r="K42" s="2">
        <f t="shared" si="2"/>
        <v>14.285714285714285</v>
      </c>
      <c r="L42" s="2">
        <f t="shared" si="2"/>
        <v>14.285714285714285</v>
      </c>
      <c r="M42" s="2">
        <f t="shared" si="2"/>
        <v>28.571428571428569</v>
      </c>
      <c r="N42" s="2">
        <v>1</v>
      </c>
      <c r="O42" s="2">
        <f t="shared" si="3"/>
        <v>4</v>
      </c>
      <c r="P42" s="2">
        <v>2</v>
      </c>
      <c r="Q42" s="2">
        <v>0</v>
      </c>
      <c r="R42" s="2">
        <v>1</v>
      </c>
      <c r="S42" s="2">
        <v>1</v>
      </c>
      <c r="T42" s="2">
        <v>1</v>
      </c>
      <c r="U42" s="2">
        <v>0</v>
      </c>
    </row>
    <row r="43" spans="1:21" x14ac:dyDescent="0.4">
      <c r="A43" s="1" t="s">
        <v>61</v>
      </c>
      <c r="B43" t="s">
        <v>104</v>
      </c>
      <c r="C43" s="2">
        <v>6</v>
      </c>
      <c r="D43" s="2">
        <v>2</v>
      </c>
      <c r="E43" s="2">
        <v>1</v>
      </c>
      <c r="F43" s="2">
        <v>2</v>
      </c>
      <c r="G43" s="2">
        <v>0</v>
      </c>
      <c r="H43" s="2">
        <v>2</v>
      </c>
      <c r="I43" s="2">
        <f t="shared" si="0"/>
        <v>28.571428571428569</v>
      </c>
      <c r="J43" s="2">
        <f t="shared" si="1"/>
        <v>14.285714285714285</v>
      </c>
      <c r="K43" s="2">
        <f t="shared" si="2"/>
        <v>28.571428571428569</v>
      </c>
      <c r="L43" s="2">
        <f t="shared" si="2"/>
        <v>0</v>
      </c>
      <c r="M43" s="2">
        <f t="shared" si="2"/>
        <v>28.571428571428569</v>
      </c>
      <c r="N43" s="2">
        <v>0</v>
      </c>
      <c r="O43" s="2">
        <f t="shared" si="3"/>
        <v>6</v>
      </c>
      <c r="P43" s="2">
        <v>2</v>
      </c>
      <c r="Q43" s="2">
        <v>2</v>
      </c>
      <c r="R43" s="2">
        <v>0</v>
      </c>
      <c r="S43" s="2">
        <v>1</v>
      </c>
      <c r="T43" s="2">
        <v>0</v>
      </c>
      <c r="U43" s="2">
        <v>1</v>
      </c>
    </row>
    <row r="44" spans="1:21" x14ac:dyDescent="0.4">
      <c r="A44" s="1" t="s">
        <v>54</v>
      </c>
      <c r="B44" t="s">
        <v>105</v>
      </c>
      <c r="C44" s="2">
        <v>5</v>
      </c>
      <c r="D44" s="2">
        <v>3</v>
      </c>
      <c r="E44" s="2">
        <v>1</v>
      </c>
      <c r="F44" s="2">
        <v>0</v>
      </c>
      <c r="G44" s="2">
        <v>1</v>
      </c>
      <c r="H44" s="2">
        <v>1</v>
      </c>
      <c r="I44" s="2">
        <f t="shared" si="0"/>
        <v>50</v>
      </c>
      <c r="J44" s="2">
        <f t="shared" si="1"/>
        <v>16.666666666666664</v>
      </c>
      <c r="K44" s="2">
        <f t="shared" si="2"/>
        <v>0</v>
      </c>
      <c r="L44" s="2">
        <f t="shared" si="2"/>
        <v>16.666666666666664</v>
      </c>
      <c r="M44" s="2">
        <f t="shared" si="2"/>
        <v>16.666666666666664</v>
      </c>
      <c r="N44" s="2">
        <v>2</v>
      </c>
      <c r="O44" s="2">
        <f t="shared" si="3"/>
        <v>3</v>
      </c>
      <c r="P44" s="2">
        <v>4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</row>
    <row r="45" spans="1:21" x14ac:dyDescent="0.4">
      <c r="A45" s="1" t="s">
        <v>41</v>
      </c>
      <c r="B45" t="s">
        <v>106</v>
      </c>
      <c r="C45" s="2">
        <v>4</v>
      </c>
      <c r="D45" s="2">
        <v>1</v>
      </c>
      <c r="E45" s="2">
        <v>1</v>
      </c>
      <c r="F45" s="2">
        <v>1</v>
      </c>
      <c r="G45" s="2">
        <v>1</v>
      </c>
      <c r="H45" s="2">
        <v>2</v>
      </c>
      <c r="I45" s="2">
        <f t="shared" si="0"/>
        <v>16.666666666666664</v>
      </c>
      <c r="J45" s="2">
        <f t="shared" si="1"/>
        <v>16.666666666666664</v>
      </c>
      <c r="K45" s="2">
        <f t="shared" si="2"/>
        <v>16.666666666666664</v>
      </c>
      <c r="L45" s="2">
        <f t="shared" si="2"/>
        <v>16.666666666666664</v>
      </c>
      <c r="M45" s="2">
        <f t="shared" si="2"/>
        <v>33.333333333333329</v>
      </c>
      <c r="N45" s="2">
        <v>0</v>
      </c>
      <c r="O45" s="2">
        <f t="shared" si="3"/>
        <v>4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</row>
    <row r="46" spans="1:21" x14ac:dyDescent="0.4">
      <c r="A46" s="1" t="s">
        <v>42</v>
      </c>
      <c r="B46" t="s">
        <v>107</v>
      </c>
      <c r="C46" s="2">
        <v>4</v>
      </c>
      <c r="D46" s="2">
        <v>2</v>
      </c>
      <c r="E46" s="2">
        <v>0</v>
      </c>
      <c r="F46" s="2">
        <v>1</v>
      </c>
      <c r="G46" s="2">
        <v>1</v>
      </c>
      <c r="H46" s="2">
        <v>2</v>
      </c>
      <c r="I46" s="2">
        <f t="shared" si="0"/>
        <v>33.333333333333329</v>
      </c>
      <c r="J46" s="2">
        <f t="shared" si="1"/>
        <v>0</v>
      </c>
      <c r="K46" s="2">
        <f t="shared" si="2"/>
        <v>16.666666666666664</v>
      </c>
      <c r="L46" s="2">
        <f t="shared" si="2"/>
        <v>16.666666666666664</v>
      </c>
      <c r="M46" s="2">
        <f t="shared" si="2"/>
        <v>33.333333333333329</v>
      </c>
      <c r="N46" s="2">
        <v>2</v>
      </c>
      <c r="O46" s="2">
        <f t="shared" si="3"/>
        <v>2</v>
      </c>
      <c r="P46" s="2">
        <v>3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</row>
    <row r="47" spans="1:21" x14ac:dyDescent="0.4">
      <c r="A47" s="1" t="s">
        <v>22</v>
      </c>
      <c r="B47" t="s">
        <v>108</v>
      </c>
      <c r="C47" s="2">
        <v>3</v>
      </c>
      <c r="D47" s="2">
        <v>1</v>
      </c>
      <c r="E47" s="2">
        <v>0</v>
      </c>
      <c r="F47" s="2">
        <v>0</v>
      </c>
      <c r="G47" s="2">
        <v>2</v>
      </c>
      <c r="H47" s="2">
        <v>2</v>
      </c>
      <c r="I47" s="2">
        <f t="shared" si="0"/>
        <v>20</v>
      </c>
      <c r="J47" s="2">
        <f t="shared" si="1"/>
        <v>0</v>
      </c>
      <c r="K47" s="2">
        <f t="shared" si="2"/>
        <v>0</v>
      </c>
      <c r="L47" s="2">
        <f t="shared" si="2"/>
        <v>40</v>
      </c>
      <c r="M47" s="2">
        <f t="shared" si="2"/>
        <v>40</v>
      </c>
      <c r="N47" s="2">
        <v>0</v>
      </c>
      <c r="O47" s="2">
        <f t="shared" si="3"/>
        <v>3</v>
      </c>
      <c r="P47" s="2">
        <v>1</v>
      </c>
      <c r="Q47" s="2">
        <v>0</v>
      </c>
      <c r="R47" s="2">
        <v>0</v>
      </c>
      <c r="S47" s="2">
        <v>0</v>
      </c>
      <c r="T47" s="2">
        <v>2</v>
      </c>
      <c r="U47" s="2">
        <v>0</v>
      </c>
    </row>
    <row r="48" spans="1:21" x14ac:dyDescent="0.4">
      <c r="A48" s="1" t="s">
        <v>23</v>
      </c>
      <c r="B48" t="s">
        <v>109</v>
      </c>
      <c r="C48" s="2">
        <v>3</v>
      </c>
      <c r="D48" s="2">
        <v>2</v>
      </c>
      <c r="E48" s="2">
        <v>1</v>
      </c>
      <c r="F48" s="2">
        <v>1</v>
      </c>
      <c r="G48" s="2">
        <v>0</v>
      </c>
      <c r="H48" s="2">
        <v>1</v>
      </c>
      <c r="I48" s="2">
        <f t="shared" si="0"/>
        <v>40</v>
      </c>
      <c r="J48" s="2">
        <f t="shared" si="1"/>
        <v>20</v>
      </c>
      <c r="K48" s="2">
        <f t="shared" si="2"/>
        <v>20</v>
      </c>
      <c r="L48" s="2">
        <f t="shared" si="2"/>
        <v>0</v>
      </c>
      <c r="M48" s="2">
        <f t="shared" si="2"/>
        <v>20</v>
      </c>
      <c r="N48" s="2">
        <v>1</v>
      </c>
      <c r="O48" s="2">
        <f t="shared" si="3"/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</row>
    <row r="49" spans="1:21" x14ac:dyDescent="0.4">
      <c r="A49" s="1" t="s">
        <v>24</v>
      </c>
      <c r="B49" t="s">
        <v>110</v>
      </c>
      <c r="C49" s="2">
        <v>3</v>
      </c>
      <c r="D49" s="2">
        <v>1</v>
      </c>
      <c r="E49" s="2">
        <v>1</v>
      </c>
      <c r="F49" s="2">
        <v>2</v>
      </c>
      <c r="G49" s="2">
        <v>0</v>
      </c>
      <c r="H49" s="2">
        <v>0</v>
      </c>
      <c r="I49" s="2">
        <f t="shared" si="0"/>
        <v>25</v>
      </c>
      <c r="J49" s="2">
        <f t="shared" si="1"/>
        <v>25</v>
      </c>
      <c r="K49" s="2">
        <f t="shared" si="2"/>
        <v>50</v>
      </c>
      <c r="L49" s="2">
        <f t="shared" si="2"/>
        <v>0</v>
      </c>
      <c r="M49" s="2">
        <f t="shared" si="2"/>
        <v>0</v>
      </c>
      <c r="N49" s="2">
        <v>0</v>
      </c>
      <c r="O49" s="2">
        <f t="shared" si="3"/>
        <v>3</v>
      </c>
      <c r="P49" s="2">
        <v>1</v>
      </c>
      <c r="Q49" s="2">
        <v>0</v>
      </c>
      <c r="R49" s="2">
        <v>2</v>
      </c>
      <c r="S49" s="2">
        <v>0</v>
      </c>
      <c r="T49" s="2">
        <v>0</v>
      </c>
      <c r="U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Sheet1_ok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Bottomley</dc:creator>
  <cp:lastModifiedBy>Veronica Ballerini</cp:lastModifiedBy>
  <dcterms:created xsi:type="dcterms:W3CDTF">2025-12-14T05:50:29Z</dcterms:created>
  <dcterms:modified xsi:type="dcterms:W3CDTF">2025-12-22T23:39:01Z</dcterms:modified>
</cp:coreProperties>
</file>